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iahbarnes/Downloads/"/>
    </mc:Choice>
  </mc:AlternateContent>
  <xr:revisionPtr revIDLastSave="0" documentId="13_ncr:1_{5739B684-B91E-D54C-B726-33E40DEC8562}" xr6:coauthVersionLast="47" xr6:coauthVersionMax="47" xr10:uidLastSave="{00000000-0000-0000-0000-000000000000}"/>
  <bookViews>
    <workbookView xWindow="13400" yWindow="660" windowWidth="16840" windowHeight="17400" xr2:uid="{A0313F08-ADE6-41E3-8C42-3B23E7E36136}"/>
  </bookViews>
  <sheets>
    <sheet name="Dashboard" sheetId="45" r:id="rId1"/>
    <sheet name="County Comparisons" sheetId="42" r:id="rId2"/>
    <sheet name="County Snapshots" sheetId="44" r:id="rId3"/>
    <sheet name="Cleaned Data" sheetId="43" r:id="rId4"/>
    <sheet name="Raw Data" sheetId="6" r:id="rId5"/>
  </sheets>
  <definedNames>
    <definedName name="_xlnm._FilterDatabase" localSheetId="3" hidden="1">'Cleaned Data'!$AA$39:$AA$52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45" l="1"/>
  <c r="I16" i="45"/>
  <c r="I15" i="45"/>
  <c r="I14" i="45"/>
  <c r="F17" i="45"/>
  <c r="F16" i="45"/>
  <c r="F15" i="45"/>
  <c r="F14" i="45"/>
  <c r="C17" i="45"/>
  <c r="C16" i="45"/>
  <c r="C15" i="45"/>
  <c r="C14" i="45"/>
  <c r="C4" i="45"/>
  <c r="E4" i="45" s="1"/>
  <c r="H4" i="45"/>
  <c r="G4" i="45"/>
  <c r="F4" i="45"/>
  <c r="D4" i="45"/>
  <c r="B23" i="43" l="1"/>
  <c r="C11" i="44"/>
  <c r="M9" i="44"/>
  <c r="BP8" i="44"/>
  <c r="H9" i="44"/>
  <c r="C9" i="44"/>
  <c r="BK8" i="44"/>
  <c r="BF8" i="44"/>
  <c r="BA8" i="44"/>
  <c r="AV8" i="44"/>
  <c r="AQ8" i="44"/>
  <c r="AL8" i="44"/>
  <c r="AG8" i="44"/>
  <c r="AB8" i="44"/>
  <c r="W8" i="44"/>
  <c r="R8" i="44"/>
  <c r="M8" i="44"/>
  <c r="H8" i="44"/>
  <c r="C8" i="44"/>
  <c r="BP6" i="44"/>
  <c r="BK6" i="44"/>
  <c r="BF6" i="44"/>
  <c r="BA6" i="44"/>
  <c r="AV6" i="44"/>
  <c r="AQ6" i="44"/>
  <c r="AL6" i="44"/>
  <c r="AG6" i="44"/>
  <c r="AB6" i="44"/>
  <c r="W6" i="44"/>
  <c r="R6" i="44"/>
  <c r="M6" i="44"/>
  <c r="H6" i="44"/>
  <c r="C6" i="44"/>
  <c r="BP5" i="44"/>
  <c r="BK5" i="44"/>
  <c r="BF5" i="44"/>
  <c r="BA5" i="44"/>
  <c r="AV5" i="44"/>
  <c r="AQ5" i="44"/>
  <c r="AL5" i="44"/>
  <c r="AG5" i="44"/>
  <c r="AB5" i="44"/>
  <c r="W5" i="44"/>
  <c r="R5" i="44"/>
  <c r="M5" i="44"/>
  <c r="H5" i="44"/>
  <c r="C5" i="44"/>
  <c r="BP4" i="44"/>
  <c r="BK4" i="44"/>
  <c r="BF4" i="44"/>
  <c r="BA4" i="44"/>
  <c r="AV4" i="44"/>
  <c r="AQ4" i="44"/>
  <c r="AL4" i="44"/>
  <c r="AG4" i="44"/>
  <c r="AB4" i="44"/>
  <c r="W4" i="44"/>
  <c r="R4" i="44"/>
  <c r="M4" i="44"/>
  <c r="H4" i="44"/>
  <c r="C4" i="44"/>
  <c r="AA21" i="6"/>
  <c r="AS21" i="6"/>
  <c r="C34" i="44"/>
  <c r="C33" i="44"/>
  <c r="C32" i="44"/>
  <c r="C23" i="44"/>
  <c r="C22" i="44"/>
  <c r="C18" i="44"/>
  <c r="C16" i="44"/>
  <c r="C15" i="44"/>
  <c r="C14" i="44"/>
  <c r="C10" i="44"/>
  <c r="T68" i="6" l="1"/>
  <c r="T67" i="6"/>
  <c r="T66" i="6"/>
  <c r="P67" i="6"/>
  <c r="P68" i="6"/>
  <c r="P69" i="6"/>
  <c r="P70" i="6"/>
  <c r="P71" i="6"/>
  <c r="P72" i="6"/>
  <c r="P73" i="6"/>
  <c r="P74" i="6"/>
  <c r="P75" i="6"/>
  <c r="P76" i="6"/>
  <c r="P77" i="6"/>
  <c r="P78" i="6"/>
  <c r="P66" i="6"/>
  <c r="E37" i="43"/>
  <c r="D37" i="43"/>
  <c r="G36" i="43"/>
  <c r="G35" i="43"/>
  <c r="F35" i="43"/>
  <c r="F36" i="43"/>
  <c r="G24" i="43"/>
  <c r="G25" i="43"/>
  <c r="G26" i="43"/>
  <c r="G27" i="43"/>
  <c r="G28" i="43"/>
  <c r="G29" i="43"/>
  <c r="G30" i="43"/>
  <c r="G31" i="43"/>
  <c r="G32" i="43"/>
  <c r="G33" i="43"/>
  <c r="G34" i="43"/>
  <c r="G23" i="43"/>
  <c r="E23" i="43" s="1"/>
  <c r="F24" i="43"/>
  <c r="F25" i="43"/>
  <c r="F26" i="43"/>
  <c r="F27" i="43"/>
  <c r="F28" i="43"/>
  <c r="F29" i="43"/>
  <c r="F30" i="43"/>
  <c r="F31" i="43"/>
  <c r="F32" i="43"/>
  <c r="F33" i="43"/>
  <c r="F34" i="43"/>
  <c r="F23" i="43"/>
  <c r="D23" i="43" s="1"/>
  <c r="B29" i="43"/>
  <c r="B30" i="43"/>
  <c r="B31" i="43"/>
  <c r="B32" i="43"/>
  <c r="B33" i="43"/>
  <c r="B34" i="43"/>
  <c r="B35" i="43"/>
  <c r="B36" i="43"/>
  <c r="B24" i="43"/>
  <c r="B25" i="43"/>
  <c r="B26" i="43"/>
  <c r="B27" i="43"/>
  <c r="B28" i="43"/>
  <c r="O83" i="6"/>
  <c r="N83" i="6"/>
  <c r="C83" i="6"/>
  <c r="D83" i="6"/>
  <c r="E83" i="6"/>
  <c r="F83" i="6"/>
  <c r="G83" i="6"/>
  <c r="H83" i="6"/>
  <c r="I83" i="6"/>
  <c r="J83" i="6"/>
  <c r="K83" i="6"/>
  <c r="L83" i="6"/>
  <c r="M83" i="6"/>
  <c r="B83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21" i="6"/>
  <c r="F24" i="6"/>
  <c r="F23" i="6"/>
  <c r="F22" i="6"/>
  <c r="F25" i="6"/>
  <c r="F26" i="6"/>
  <c r="F27" i="6"/>
  <c r="F28" i="6"/>
  <c r="F29" i="6"/>
  <c r="F30" i="6"/>
  <c r="F31" i="6"/>
  <c r="F32" i="6"/>
  <c r="F33" i="6"/>
  <c r="F34" i="6"/>
  <c r="F21" i="6"/>
  <c r="B34" i="6"/>
  <c r="B30" i="6"/>
  <c r="B31" i="6"/>
  <c r="B32" i="6"/>
  <c r="B33" i="6"/>
  <c r="B22" i="6"/>
  <c r="B23" i="6"/>
  <c r="B24" i="6"/>
  <c r="B25" i="6"/>
  <c r="B26" i="6"/>
  <c r="B27" i="6"/>
  <c r="B28" i="6"/>
  <c r="B29" i="6"/>
  <c r="B21" i="6"/>
  <c r="D32" i="43" l="1"/>
  <c r="E34" i="43"/>
  <c r="E33" i="43"/>
  <c r="E32" i="43"/>
  <c r="E31" i="43"/>
  <c r="E30" i="43"/>
  <c r="E29" i="43"/>
  <c r="E28" i="43"/>
  <c r="E27" i="43"/>
  <c r="E26" i="43"/>
  <c r="E25" i="43"/>
  <c r="E24" i="43"/>
  <c r="D36" i="43"/>
  <c r="D35" i="43"/>
  <c r="E35" i="43"/>
  <c r="E36" i="43"/>
  <c r="D28" i="43"/>
  <c r="D31" i="43"/>
  <c r="D33" i="43"/>
  <c r="D29" i="43"/>
  <c r="D26" i="43"/>
  <c r="D34" i="43"/>
  <c r="D30" i="43"/>
  <c r="D25" i="43"/>
  <c r="D24" i="43"/>
  <c r="D27" i="43"/>
</calcChain>
</file>

<file path=xl/sharedStrings.xml><?xml version="1.0" encoding="utf-8"?>
<sst xmlns="http://schemas.openxmlformats.org/spreadsheetml/2006/main" count="1602" uniqueCount="403">
  <si>
    <t>Health Behaviors</t>
  </si>
  <si>
    <t>Social and Economic Factors</t>
  </si>
  <si>
    <t>Demographics</t>
  </si>
  <si>
    <t>Health Outcomes</t>
  </si>
  <si>
    <t>Clincial Care</t>
  </si>
  <si>
    <t>Physical Environment</t>
  </si>
  <si>
    <t>Location</t>
  </si>
  <si>
    <t>Population</t>
  </si>
  <si>
    <t>Number of non -Hispanic White</t>
  </si>
  <si>
    <t>% White</t>
  </si>
  <si>
    <t xml:space="preserve">Number of non-Hispanic Black </t>
  </si>
  <si>
    <t>% Black</t>
  </si>
  <si>
    <t>Asian</t>
  </si>
  <si>
    <t>% Asian</t>
  </si>
  <si>
    <t>American Indian / Alaska Native</t>
  </si>
  <si>
    <t>% American Indian/ Alaskan Native</t>
  </si>
  <si>
    <t>Native Hawaiian / Pacific Islander</t>
  </si>
  <si>
    <t>% Native Hawaiian/ Pacific Islander</t>
  </si>
  <si>
    <t>Hispanic</t>
  </si>
  <si>
    <t>% Hispanic</t>
  </si>
  <si>
    <t>% Living in Rural Areas</t>
  </si>
  <si>
    <t>% Under Age of 18</t>
  </si>
  <si>
    <t>% 65 and  Older</t>
  </si>
  <si>
    <t>% Female</t>
  </si>
  <si>
    <t>Life Expectancy  (Years)</t>
  </si>
  <si>
    <t>Average Number of Poor Physical Health Days</t>
  </si>
  <si>
    <t>Premature Deaths</t>
  </si>
  <si>
    <t>Prematue Age-Adjusted Mortality Rate</t>
  </si>
  <si>
    <t># of Child Deaths           (1-20 yrs old)</t>
  </si>
  <si>
    <t>Child Mortality Rate</t>
  </si>
  <si>
    <t xml:space="preserve"># of Infant Deaths </t>
  </si>
  <si>
    <t>Infant Mortality Rate (0-12 months) / 1,000 births</t>
  </si>
  <si>
    <t>% of Poor or Fair Health Days</t>
  </si>
  <si>
    <t>% of Frequent Mental Distress</t>
  </si>
  <si>
    <t>% of Adults with Diabetes</t>
  </si>
  <si>
    <t># of HIV Cases</t>
  </si>
  <si>
    <t>HIV Prevelance Rate</t>
  </si>
  <si>
    <t>% of Low Birth weight</t>
  </si>
  <si>
    <t>Average Number of Poor Mental Health Days</t>
  </si>
  <si>
    <t>% of Adults Reporting Currently Smoking</t>
  </si>
  <si>
    <t>% of Adults with Obesity</t>
  </si>
  <si>
    <t># With Food Insecurity</t>
  </si>
  <si>
    <t>% With Food Insecurity</t>
  </si>
  <si>
    <t># With Limited Access to Healthy Foods</t>
  </si>
  <si>
    <t>% With Limited Access to Healthy Foods</t>
  </si>
  <si>
    <t>% With Insuffient Sleeping</t>
  </si>
  <si>
    <t>Food Environment Index</t>
  </si>
  <si>
    <t>% of Physical Inactivity</t>
  </si>
  <si>
    <t>% With Access to Exercise Opportunities</t>
  </si>
  <si>
    <t>% of Excessive Drinking</t>
  </si>
  <si>
    <t>Number of Alcohol-Impaired Driving Deaths</t>
  </si>
  <si>
    <t>Number of Driving Deaths</t>
  </si>
  <si>
    <t>% of Driving Deaths with Alcohol Inlvolvment</t>
  </si>
  <si>
    <t># of Drug Overdose Deaths</t>
  </si>
  <si>
    <t>Drug Overdose Mortality Rate</t>
  </si>
  <si>
    <t>Number of Chlamydia Cases</t>
  </si>
  <si>
    <t>Chlamydia Rate</t>
  </si>
  <si>
    <t>Teen Birth Rate</t>
  </si>
  <si>
    <t>Number of Uninsured</t>
  </si>
  <si>
    <t>% Uninsured</t>
  </si>
  <si>
    <t># of Uninsured Adult</t>
  </si>
  <si>
    <t>% of Uninsured Adults</t>
  </si>
  <si>
    <t># of Uninsured Children</t>
  </si>
  <si>
    <t>% of Uninsured Childen</t>
  </si>
  <si>
    <t>Number of Primary Care Physicians</t>
  </si>
  <si>
    <t>Primary Care Physicians Ratio</t>
  </si>
  <si>
    <t>Number of Dentists</t>
  </si>
  <si>
    <t>Dentists Ratio</t>
  </si>
  <si>
    <t>Number of Mental Health Providers</t>
  </si>
  <si>
    <t>Mental Health Providers Ratio</t>
  </si>
  <si>
    <t>Preventable Hospital Stays</t>
  </si>
  <si>
    <t>% of  Population with annual Mammography Screening</t>
  </si>
  <si>
    <t>% of population with Flu Vaccinations</t>
  </si>
  <si>
    <t>Number Completed High School</t>
  </si>
  <si>
    <t>% of High School Compleiton</t>
  </si>
  <si>
    <t>Cohort Size</t>
  </si>
  <si>
    <t>High School Graduation Rate</t>
  </si>
  <si>
    <t>Number of Some College</t>
  </si>
  <si>
    <t>% of Some College</t>
  </si>
  <si>
    <t>Number of Unemployed</t>
  </si>
  <si>
    <t>Labor Force</t>
  </si>
  <si>
    <t>% of Unemployed</t>
  </si>
  <si>
    <t>% of Children in Poverty</t>
  </si>
  <si>
    <t>80th Percentile Income</t>
  </si>
  <si>
    <t>20th Percentile Income</t>
  </si>
  <si>
    <t>Median Household Income</t>
  </si>
  <si>
    <t>Required Hourly Living Wage</t>
  </si>
  <si>
    <t>Income Inequality Ratio</t>
  </si>
  <si>
    <t># of Children in Single-Parent Households</t>
  </si>
  <si>
    <t># of Children in Households</t>
  </si>
  <si>
    <t>% of Children in Single Parent Housholds</t>
  </si>
  <si>
    <t>Number of Social Associations</t>
  </si>
  <si>
    <t xml:space="preserve"> Social Associations Rate</t>
  </si>
  <si>
    <t xml:space="preserve">Number of Injury Deaths </t>
  </si>
  <si>
    <t>Injury Death Rate</t>
  </si>
  <si>
    <t>Average Daily PM2.5</t>
  </si>
  <si>
    <t xml:space="preserve">Presence of Water Violation </t>
  </si>
  <si>
    <t xml:space="preserve">% of Severe Housing Problems </t>
  </si>
  <si>
    <t># of Homeowners</t>
  </si>
  <si>
    <t>% of Homeowners</t>
  </si>
  <si>
    <t># of Households with Severe Cost Burden</t>
  </si>
  <si>
    <t>% of Househould with Severe Cost Burden</t>
  </si>
  <si>
    <t>% of Households with Broadband Access</t>
  </si>
  <si>
    <t>% of Long Commute who Drive Alone</t>
  </si>
  <si>
    <t>Burke</t>
  </si>
  <si>
    <t>3039:1</t>
  </si>
  <si>
    <t>3</t>
  </si>
  <si>
    <t>8129:1</t>
  </si>
  <si>
    <t>2217:1</t>
  </si>
  <si>
    <t>No</t>
  </si>
  <si>
    <t>Columbia</t>
  </si>
  <si>
    <t>950:1</t>
  </si>
  <si>
    <t>1728:1</t>
  </si>
  <si>
    <t>755:1</t>
  </si>
  <si>
    <t>Emanuel</t>
  </si>
  <si>
    <t>2524:1</t>
  </si>
  <si>
    <t>7643:1</t>
  </si>
  <si>
    <t>997:1</t>
  </si>
  <si>
    <t>Glascock</t>
  </si>
  <si>
    <t>2919:1</t>
  </si>
  <si>
    <t>0</t>
  </si>
  <si>
    <t>2939:0</t>
  </si>
  <si>
    <t>Yes</t>
  </si>
  <si>
    <t>Jefferson</t>
  </si>
  <si>
    <t>7762:1</t>
  </si>
  <si>
    <t>5101:1</t>
  </si>
  <si>
    <t>15314:1</t>
  </si>
  <si>
    <t>Jenkins</t>
  </si>
  <si>
    <t>2880:1</t>
  </si>
  <si>
    <t>8689:1</t>
  </si>
  <si>
    <t>Lincoln</t>
  </si>
  <si>
    <t>3875:1</t>
  </si>
  <si>
    <t>2614:1</t>
  </si>
  <si>
    <t>McDuffie</t>
  </si>
  <si>
    <t>1967:1</t>
  </si>
  <si>
    <t>12</t>
  </si>
  <si>
    <t>1809:1</t>
  </si>
  <si>
    <t>1448:1</t>
  </si>
  <si>
    <t>Richmond</t>
  </si>
  <si>
    <t>1124:1</t>
  </si>
  <si>
    <t>447</t>
  </si>
  <si>
    <t>462:1</t>
  </si>
  <si>
    <t>287:1</t>
  </si>
  <si>
    <t>Screven</t>
  </si>
  <si>
    <t>7053:1</t>
  </si>
  <si>
    <t>4659:1</t>
  </si>
  <si>
    <t>5</t>
  </si>
  <si>
    <t>2795:1</t>
  </si>
  <si>
    <t>Taliaferro</t>
  </si>
  <si>
    <t>1558:1</t>
  </si>
  <si>
    <t>1600:0</t>
  </si>
  <si>
    <t>Warren</t>
  </si>
  <si>
    <t>1747:1</t>
  </si>
  <si>
    <t>1</t>
  </si>
  <si>
    <t>5155:1</t>
  </si>
  <si>
    <t>2</t>
  </si>
  <si>
    <t>2578:1</t>
  </si>
  <si>
    <t>Wilkes</t>
  </si>
  <si>
    <t>2378:1</t>
  </si>
  <si>
    <t>4800:1</t>
  </si>
  <si>
    <t xml:space="preserve">Georgia </t>
  </si>
  <si>
    <t>1856:1</t>
  </si>
  <si>
    <t>19531</t>
  </si>
  <si>
    <t>559:1</t>
  </si>
  <si>
    <t>USA</t>
  </si>
  <si>
    <t>x</t>
  </si>
  <si>
    <t>1330:1</t>
  </si>
  <si>
    <t>1360:1</t>
  </si>
  <si>
    <t>Oasis (2018-2023)</t>
  </si>
  <si>
    <t>Population Density (per sq. mi.)</t>
  </si>
  <si>
    <t>Male</t>
  </si>
  <si>
    <t>Female</t>
  </si>
  <si>
    <t>Male %</t>
  </si>
  <si>
    <t>Female %</t>
  </si>
  <si>
    <t>Median Age</t>
  </si>
  <si>
    <t>Age 0-4</t>
  </si>
  <si>
    <t>Age 5-17</t>
  </si>
  <si>
    <t>Age 18-24</t>
  </si>
  <si>
    <t>Age 25-34</t>
  </si>
  <si>
    <t>Age 35-44</t>
  </si>
  <si>
    <t>Age 45-54</t>
  </si>
  <si>
    <t>Age 55-64</t>
  </si>
  <si>
    <t>Age 65+</t>
  </si>
  <si>
    <t>White</t>
  </si>
  <si>
    <t>Black</t>
  </si>
  <si>
    <t>Some Other Race</t>
  </si>
  <si>
    <t>Multiple Races</t>
  </si>
  <si>
    <t>Total Population (for determined disability status</t>
  </si>
  <si>
    <t>Popualtion w/ Disability</t>
  </si>
  <si>
    <t>Popualtion w/ Disability (%)</t>
  </si>
  <si>
    <t>Females Ages 15 to 19</t>
  </si>
  <si>
    <t>Births to Teens</t>
  </si>
  <si>
    <t>Births per 1,000 Teens</t>
  </si>
  <si>
    <t>Total Population</t>
  </si>
  <si>
    <t>Teen Pregnancies by Residence</t>
  </si>
  <si>
    <t>Pregnancy Rate</t>
  </si>
  <si>
    <t># of Births by Residence</t>
  </si>
  <si>
    <t>Birth Rate</t>
  </si>
  <si>
    <t xml:space="preserve">Burke </t>
  </si>
  <si>
    <t>Current Smokers</t>
  </si>
  <si>
    <t>Current Smokers, Percent</t>
  </si>
  <si>
    <t>Adults Reporting Excessive Drinking</t>
  </si>
  <si>
    <t>Percentage of Adults Reporting Excessive Drinking</t>
  </si>
  <si>
    <t>Chlamydia Infections per 100,000 pop.</t>
  </si>
  <si>
    <t>Gonorrhea Infections</t>
  </si>
  <si>
    <t>Gonorrhea Infections per 100,000 pop.</t>
  </si>
  <si>
    <t>Total HIV/AIDS Infections</t>
  </si>
  <si>
    <t>Total HIV/AIDS Infections Rate Per 100,000 Pop.</t>
  </si>
  <si>
    <t>Total Births</t>
  </si>
  <si>
    <t>Infant Deaths (&lt;1 yr old)</t>
  </si>
  <si>
    <t>Infant Mortality Rate (per 1,000 births)</t>
  </si>
  <si>
    <t>Adults with BMI &gt; 30.0 (Obese)</t>
  </si>
  <si>
    <t>Adults with BMI &gt; 30.0 (Obese), Percent</t>
  </si>
  <si>
    <t>&gt;10</t>
  </si>
  <si>
    <t>Suppressed</t>
  </si>
  <si>
    <t>No data</t>
  </si>
  <si>
    <t>STD Cases by Residence</t>
  </si>
  <si>
    <t>STD Rate</t>
  </si>
  <si>
    <t>Population Age 20+</t>
  </si>
  <si>
    <t>Infant Mortality Rate</t>
  </si>
  <si>
    <t>Total Population (2019)</t>
  </si>
  <si>
    <t>Life Expectancy at Birth (2019)</t>
  </si>
  <si>
    <t>Total Population, 2018-2022 Average</t>
  </si>
  <si>
    <t>5 Year Total Death, CHD</t>
  </si>
  <si>
    <t>Crude Death Rate (per 100,000 Pop.), CHD</t>
  </si>
  <si>
    <t>Average Poor Mental Health Days per Month</t>
  </si>
  <si>
    <t>Healthcare Workforce</t>
  </si>
  <si>
    <t># of Mental Health Providers</t>
  </si>
  <si>
    <t>Mental Health Providers to Population (1/person)</t>
  </si>
  <si>
    <t>Mental Health Care Provider Rate (per 100,000 Pop.)</t>
  </si>
  <si>
    <t>Other Social &amp; Economic Factors</t>
  </si>
  <si>
    <t>Breast</t>
  </si>
  <si>
    <t>Cervical</t>
  </si>
  <si>
    <t>Colon and Rectum</t>
  </si>
  <si>
    <t>Lung</t>
  </si>
  <si>
    <t>Prostate</t>
  </si>
  <si>
    <t>Population Age 16-19</t>
  </si>
  <si>
    <t>Population Age 16-19 Not in School and Not Employed</t>
  </si>
  <si>
    <t>Population Age 16-19 Not in School and Not Employed, Percent</t>
  </si>
  <si>
    <t>Estimated Total Population (Female)</t>
  </si>
  <si>
    <t>New Cases (Annual Average)</t>
  </si>
  <si>
    <t>Cancer Incidence Rate</t>
  </si>
  <si>
    <t>Estimated Total Population</t>
  </si>
  <si>
    <t>Cancer Incidence Rate (Per 100,000 Population)</t>
  </si>
  <si>
    <t>Estimated Total Population (Male)</t>
  </si>
  <si>
    <t>Total Households</t>
  </si>
  <si>
    <t>Average Household Income</t>
  </si>
  <si>
    <t>1-Person Household</t>
  </si>
  <si>
    <t>2-Person Household</t>
  </si>
  <si>
    <t>3-Person Household</t>
  </si>
  <si>
    <t>4-Person Household</t>
  </si>
  <si>
    <t>5-Person Household</t>
  </si>
  <si>
    <t>6-Person Household</t>
  </si>
  <si>
    <t>7-Person Household</t>
  </si>
  <si>
    <t>Under $25,000</t>
  </si>
  <si>
    <t>$25,000 - $49,999</t>
  </si>
  <si>
    <t>$50,000 - $99,999</t>
  </si>
  <si>
    <t>$100,000 - $199,999</t>
  </si>
  <si>
    <t>$200,000+</t>
  </si>
  <si>
    <t>Average County Visits by Program FY2010-FY2024</t>
  </si>
  <si>
    <t>FP-01</t>
  </si>
  <si>
    <t>STD-02</t>
  </si>
  <si>
    <t>AH-04</t>
  </si>
  <si>
    <t>IMM-11</t>
  </si>
  <si>
    <t>CH-22</t>
  </si>
  <si>
    <t>TB-44</t>
  </si>
  <si>
    <t>PPD-45</t>
  </si>
  <si>
    <t>WH-55</t>
  </si>
  <si>
    <t>COLPO-57</t>
  </si>
  <si>
    <t>HMOP-66</t>
  </si>
  <si>
    <t>BT-67</t>
  </si>
  <si>
    <t>PCM-84</t>
  </si>
  <si>
    <t>PT-98</t>
  </si>
  <si>
    <t>WIC</t>
  </si>
  <si>
    <t>Rural Health Innovation Center: 2018-2022</t>
  </si>
  <si>
    <t>County Health Rankings</t>
  </si>
  <si>
    <t>Population Age 18+</t>
  </si>
  <si>
    <t>Chlammydia Infections</t>
  </si>
  <si>
    <t>Population Age 13+</t>
  </si>
  <si>
    <t>Population Estimate</t>
  </si>
  <si>
    <t>&gt;4</t>
  </si>
  <si>
    <t>ID-07</t>
  </si>
  <si>
    <t>RW-09</t>
  </si>
  <si>
    <t>TRAV-13</t>
  </si>
  <si>
    <t>PRENA-88</t>
  </si>
  <si>
    <t xml:space="preserve">County: </t>
  </si>
  <si>
    <t>Taliferro</t>
  </si>
  <si>
    <t xml:space="preserve">Warren </t>
  </si>
  <si>
    <t>Georgia</t>
  </si>
  <si>
    <t>United States</t>
  </si>
  <si>
    <t>Category</t>
  </si>
  <si>
    <t>Data Sources</t>
  </si>
  <si>
    <t>Gerogia Rural Health Innovation Center (5yr Average)</t>
  </si>
  <si>
    <t>`</t>
  </si>
  <si>
    <t>-</t>
  </si>
  <si>
    <t>% Male</t>
  </si>
  <si>
    <t>% Living in Rural Area</t>
  </si>
  <si>
    <t xml:space="preserve">White </t>
  </si>
  <si>
    <t>Multiracial</t>
  </si>
  <si>
    <t>% Current Smokers</t>
  </si>
  <si>
    <t>% Adults w/ Excessive Drinking</t>
  </si>
  <si>
    <t>HIV/AIDS Prevalence</t>
  </si>
  <si>
    <t>&lt;10</t>
  </si>
  <si>
    <t>Chlamydia Incidence Rate</t>
  </si>
  <si>
    <t>% of Adults w/ Obesity</t>
  </si>
  <si>
    <t>5 Year Total Deaths: Heart Disease</t>
  </si>
  <si>
    <t>Average Poor Mental Health Days/Month</t>
  </si>
  <si>
    <t>Premature Age-Adjusted Mortality Rate</t>
  </si>
  <si>
    <t>&lt;4</t>
  </si>
  <si>
    <t xml:space="preserve">% of Frequent Mental Distress </t>
  </si>
  <si>
    <t>Other Socio-demographic factors</t>
  </si>
  <si>
    <t>% of Children in Single Parent Households</t>
  </si>
  <si>
    <t>% Population Earning Under $25,000</t>
  </si>
  <si>
    <t>% Population Earning $25,000 - $49,999</t>
  </si>
  <si>
    <t>% Population Unemployed</t>
  </si>
  <si>
    <t>Key: Data Source</t>
  </si>
  <si>
    <t>HealthyPeople 2030</t>
  </si>
  <si>
    <t>CDC (2022): GA state</t>
  </si>
  <si>
    <t>**indicates average of the data fro those that had more than 1 data source</t>
  </si>
  <si>
    <t>Average of Rural Health Innovation Center and Oasis</t>
  </si>
  <si>
    <t xml:space="preserve"> </t>
  </si>
  <si>
    <t>Percent of State Pop.</t>
  </si>
  <si>
    <t>Birth Rate (per 100,000 pop.)</t>
  </si>
  <si>
    <t>STD Rate Per 100,000 Pop.</t>
  </si>
  <si>
    <t>Total HIV/AIDS Infections #</t>
  </si>
  <si>
    <t>Infant Mortality Rate (per 1,000 Live Births)</t>
  </si>
  <si>
    <t>Crude Death Rate per 100,000 Pop. CHD</t>
  </si>
  <si>
    <t>Demographics by Age</t>
  </si>
  <si>
    <t xml:space="preserve">Columbia </t>
  </si>
  <si>
    <t xml:space="preserve">Emanuel </t>
  </si>
  <si>
    <t xml:space="preserve">Glascock </t>
  </si>
  <si>
    <t xml:space="preserve">Jefferson </t>
  </si>
  <si>
    <t xml:space="preserve">Jenkins </t>
  </si>
  <si>
    <t xml:space="preserve">Lincoln </t>
  </si>
  <si>
    <t xml:space="preserve">McDuffie </t>
  </si>
  <si>
    <t xml:space="preserve">Richmond </t>
  </si>
  <si>
    <t xml:space="preserve">Screven </t>
  </si>
  <si>
    <t xml:space="preserve">Taliaferro </t>
  </si>
  <si>
    <t>Georgia (State)</t>
  </si>
  <si>
    <t>United States (as a whole)</t>
  </si>
  <si>
    <t xml:space="preserve">% Male                                </t>
  </si>
  <si>
    <t xml:space="preserve">% Female                               </t>
  </si>
  <si>
    <t xml:space="preserve">Wilkes </t>
  </si>
  <si>
    <t>average</t>
  </si>
  <si>
    <t>dm</t>
  </si>
  <si>
    <t>Data Type</t>
  </si>
  <si>
    <t>Reduce Number od Diabetes Casses Diagnosed Yearly</t>
  </si>
  <si>
    <t>Reduce the proportion of adults with obesity</t>
  </si>
  <si>
    <t>Reduce the Proporton of Children and Adolescents with Obesity</t>
  </si>
  <si>
    <t>Reduce Current Tobacco Use in Adults</t>
  </si>
  <si>
    <t>Reduce the Rate of Infant Deaths Within First Year of Life</t>
  </si>
  <si>
    <t>Recent Data</t>
  </si>
  <si>
    <t>5.5/1000</t>
  </si>
  <si>
    <t>5.4/1000</t>
  </si>
  <si>
    <t>Target</t>
  </si>
  <si>
    <t>4.8/1000</t>
  </si>
  <si>
    <t>5.0/1000</t>
  </si>
  <si>
    <t xml:space="preserve">*Age adjusted to year 2000 standard population </t>
  </si>
  <si>
    <t>Legend: Program Codes</t>
  </si>
  <si>
    <t>01 - Family Planning</t>
  </si>
  <si>
    <t>92 - Environmental Health</t>
  </si>
  <si>
    <t>02 - STD</t>
  </si>
  <si>
    <t>98 - Pregnancy Test (Non FP)</t>
  </si>
  <si>
    <t>04 - Adult Health</t>
  </si>
  <si>
    <t>44 - Tuberculosis</t>
  </si>
  <si>
    <t>05 - Dental Clinic</t>
  </si>
  <si>
    <t>45 - PPD/TST</t>
  </si>
  <si>
    <t>07 - Project Impact Clinical</t>
  </si>
  <si>
    <t>55 - Women's Health</t>
  </si>
  <si>
    <t>11 - Immunizations</t>
  </si>
  <si>
    <t>57 - Colposcopy</t>
  </si>
  <si>
    <t>13 - Travel</t>
  </si>
  <si>
    <t>66 - Hypertension Management</t>
  </si>
  <si>
    <t>22 - Child Health</t>
  </si>
  <si>
    <t>67 - Breast and Cervical Cancer Program</t>
  </si>
  <si>
    <t>88 - Prenatal</t>
  </si>
  <si>
    <t xml:space="preserve">84 - Perinatal Case Mgmt. </t>
  </si>
  <si>
    <t>Taliafero</t>
  </si>
  <si>
    <t>Richmond (Laney)</t>
  </si>
  <si>
    <t>Richmond  (S. Augusta)</t>
  </si>
  <si>
    <t>Totals</t>
  </si>
  <si>
    <t>Richmond (S. Augusta)</t>
  </si>
  <si>
    <t xml:space="preserve">Select County: </t>
  </si>
  <si>
    <t>Current Smokers(%)</t>
  </si>
  <si>
    <t>Adults with BMI &gt; 30.0 (Obese) (%)</t>
  </si>
  <si>
    <t>Disbility (%)</t>
  </si>
  <si>
    <t xml:space="preserve">Life Expectancy (Years) </t>
  </si>
  <si>
    <t xml:space="preserve">District 6 County Health Dashboard        </t>
  </si>
  <si>
    <t>Data Source: Rural Health Innovation Center (2018-2022)</t>
  </si>
  <si>
    <t>Indicator</t>
  </si>
  <si>
    <t>Value</t>
  </si>
  <si>
    <t>Male (%)</t>
  </si>
  <si>
    <t>Female (%)</t>
  </si>
  <si>
    <t>Poor Mental Health Days (Month)</t>
  </si>
  <si>
    <t>Excessive Drinking (%)</t>
  </si>
  <si>
    <t>Teen Birth Rate (15-19yrs)</t>
  </si>
  <si>
    <t>Total HIV/AIDS Rate (per 100,000)</t>
  </si>
  <si>
    <t>Chlamydie Rate (per 100,000)</t>
  </si>
  <si>
    <t>Gonorrhea Rate (per 100,000)</t>
  </si>
  <si>
    <t>Youth (16–19) Not in School/Work (%)</t>
  </si>
  <si>
    <t>Population Density</t>
  </si>
  <si>
    <t>Crude Death Rate (per 100,000)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</si>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</sst>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164" formatCode="0.0"/>
    <numFmt numFmtId="165" formatCode="0.0%"/>
    <numFmt numFmtId="166" formatCode="&quot;$&quot;#,##0"/>
  </numFmts>
  <fonts count="3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rgb="FF211F1F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211F1F"/>
      <name val="Aptos Narrow"/>
      <family val="2"/>
      <scheme val="minor"/>
    </font>
    <font>
      <sz val="11.7"/>
      <color rgb="FF211F1F"/>
      <name val="Roboto"/>
      <family val="2"/>
      <charset val="1"/>
    </font>
    <font>
      <sz val="9.9"/>
      <color rgb="FF211F1F"/>
      <name val="Aptos Narrow"/>
      <family val="2"/>
      <scheme val="minor"/>
    </font>
    <font>
      <b/>
      <sz val="11.7"/>
      <color rgb="FF211F1F"/>
      <name val="Roboto"/>
      <family val="2"/>
      <charset val="1"/>
    </font>
    <font>
      <sz val="12"/>
      <color theme="1"/>
      <name val="Aptos Narrow"/>
      <family val="2"/>
      <scheme val="minor"/>
    </font>
    <font>
      <b/>
      <i/>
      <u/>
      <sz val="12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242424"/>
      <name val="Calibri"/>
      <family val="2"/>
      <charset val="1"/>
    </font>
    <font>
      <b/>
      <sz val="12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242424"/>
      <name val="Calibri"/>
      <family val="2"/>
    </font>
    <font>
      <sz val="16"/>
      <color theme="1"/>
      <name val="Aptos Narrow"/>
      <family val="2"/>
      <scheme val="minor"/>
    </font>
    <font>
      <i/>
      <u/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.9"/>
      <color rgb="FF211F1F"/>
      <name val="Aptos Narrow"/>
      <family val="2"/>
      <scheme val="minor"/>
    </font>
    <font>
      <b/>
      <i/>
      <u/>
      <sz val="14"/>
      <color theme="1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  <font>
      <b/>
      <sz val="12"/>
      <color theme="9" tint="-0.249977111117893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rgb="FF000000"/>
      <name val="Aptos Display"/>
      <charset val="1"/>
    </font>
    <font>
      <sz val="12"/>
      <color rgb="FF000000"/>
      <name val="Aptos Display"/>
      <charset val="1"/>
    </font>
    <font>
      <b/>
      <sz val="11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rgb="FF211F1F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2F7C6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7DFF5"/>
        <bgColor indexed="64"/>
      </patternFill>
    </fill>
    <fill>
      <patternFill patternType="solid">
        <fgColor rgb="FFFAE6F8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61CBF3"/>
        <bgColor rgb="FF000000"/>
      </patternFill>
    </fill>
    <fill>
      <patternFill patternType="solid">
        <fgColor rgb="FFF2F7C6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AC3C3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6">
    <border>
      <left/>
      <right/>
      <top/>
      <bottom/>
      <diagonal/>
    </border>
    <border>
      <left style="medium">
        <color rgb="FFDEDEDE"/>
      </left>
      <right style="medium">
        <color rgb="FFDEDEDE"/>
      </right>
      <top style="medium">
        <color rgb="FFDEDEDE"/>
      </top>
      <bottom style="medium">
        <color rgb="FFDEDED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DEDEDE"/>
      </left>
      <right style="medium">
        <color rgb="FFDEDEDE"/>
      </right>
      <top style="medium">
        <color rgb="FFDEDEDE"/>
      </top>
      <bottom/>
      <diagonal/>
    </border>
    <border>
      <left/>
      <right/>
      <top/>
      <bottom style="medium">
        <color rgb="FFDEDEDE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EDEDE"/>
      </left>
      <right style="thin">
        <color rgb="FFDEDEDE"/>
      </right>
      <top style="thin">
        <color rgb="FFDEDEDE"/>
      </top>
      <bottom style="thin">
        <color rgb="FFDEDED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E8E8E8"/>
      </left>
      <right style="thin">
        <color rgb="FFE8E8E8"/>
      </right>
      <top/>
      <bottom/>
      <diagonal/>
    </border>
    <border>
      <left style="thin">
        <color rgb="FFE8E8E8"/>
      </left>
      <right style="thin">
        <color rgb="FFE8E8E8"/>
      </right>
      <top style="thin">
        <color rgb="FFE8E8E8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0" fontId="7" fillId="3" borderId="1" xfId="0" applyNumberFormat="1" applyFont="1" applyFill="1" applyBorder="1" applyAlignment="1">
      <alignment horizontal="center" vertical="center" wrapText="1"/>
    </xf>
    <xf numFmtId="4" fontId="7" fillId="3" borderId="1" xfId="0" applyNumberFormat="1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3" fontId="7" fillId="3" borderId="9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0" fontId="7" fillId="2" borderId="1" xfId="0" applyNumberFormat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3" fontId="7" fillId="2" borderId="9" xfId="0" applyNumberFormat="1" applyFont="1" applyFill="1" applyBorder="1" applyAlignment="1">
      <alignment horizontal="center" vertical="center" wrapText="1"/>
    </xf>
    <xf numFmtId="4" fontId="7" fillId="2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3" fontId="5" fillId="3" borderId="0" xfId="0" applyNumberFormat="1" applyFont="1" applyFill="1" applyAlignment="1">
      <alignment horizontal="center" vertical="center" wrapText="1"/>
    </xf>
    <xf numFmtId="3" fontId="7" fillId="3" borderId="0" xfId="0" applyNumberFormat="1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0" fontId="7" fillId="3" borderId="0" xfId="0" applyNumberFormat="1" applyFont="1" applyFill="1" applyAlignment="1">
      <alignment horizontal="center" vertical="center" wrapText="1"/>
    </xf>
    <xf numFmtId="3" fontId="7" fillId="6" borderId="0" xfId="0" applyNumberFormat="1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9" xfId="0" applyFont="1" applyFill="1" applyBorder="1" applyAlignment="1">
      <alignment wrapText="1"/>
    </xf>
    <xf numFmtId="3" fontId="8" fillId="3" borderId="9" xfId="0" applyNumberFormat="1" applyFont="1" applyFill="1" applyBorder="1" applyAlignment="1">
      <alignment wrapText="1"/>
    </xf>
    <xf numFmtId="6" fontId="8" fillId="3" borderId="9" xfId="0" applyNumberFormat="1" applyFont="1" applyFill="1" applyBorder="1" applyAlignment="1">
      <alignment wrapText="1"/>
    </xf>
    <xf numFmtId="3" fontId="8" fillId="2" borderId="9" xfId="0" applyNumberFormat="1" applyFont="1" applyFill="1" applyBorder="1" applyAlignment="1">
      <alignment wrapText="1"/>
    </xf>
    <xf numFmtId="6" fontId="8" fillId="2" borderId="9" xfId="0" applyNumberFormat="1" applyFont="1" applyFill="1" applyBorder="1" applyAlignment="1">
      <alignment wrapText="1"/>
    </xf>
    <xf numFmtId="0" fontId="9" fillId="3" borderId="9" xfId="0" applyFont="1" applyFill="1" applyBorder="1"/>
    <xf numFmtId="6" fontId="9" fillId="3" borderId="9" xfId="0" applyNumberFormat="1" applyFont="1" applyFill="1" applyBorder="1"/>
    <xf numFmtId="0" fontId="9" fillId="2" borderId="9" xfId="0" applyFont="1" applyFill="1" applyBorder="1"/>
    <xf numFmtId="6" fontId="9" fillId="2" borderId="9" xfId="0" applyNumberFormat="1" applyFont="1" applyFill="1" applyBorder="1"/>
    <xf numFmtId="10" fontId="8" fillId="2" borderId="9" xfId="0" applyNumberFormat="1" applyFont="1" applyFill="1" applyBorder="1" applyAlignment="1">
      <alignment wrapText="1"/>
    </xf>
    <xf numFmtId="10" fontId="8" fillId="3" borderId="9" xfId="0" applyNumberFormat="1" applyFont="1" applyFill="1" applyBorder="1" applyAlignment="1">
      <alignment wrapText="1"/>
    </xf>
    <xf numFmtId="0" fontId="10" fillId="5" borderId="9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5" fillId="13" borderId="0" xfId="0" applyNumberFormat="1" applyFont="1" applyFill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13" fillId="0" borderId="0" xfId="0" applyFont="1"/>
    <xf numFmtId="0" fontId="12" fillId="0" borderId="0" xfId="0" applyFont="1"/>
    <xf numFmtId="0" fontId="18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3" fontId="3" fillId="6" borderId="0" xfId="0" applyNumberFormat="1" applyFont="1" applyFill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3" fontId="3" fillId="13" borderId="0" xfId="0" applyNumberFormat="1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4" fillId="0" borderId="0" xfId="0" applyFont="1"/>
    <xf numFmtId="1" fontId="2" fillId="0" borderId="13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0" fillId="0" borderId="13" xfId="0" applyNumberForma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0" fillId="0" borderId="14" xfId="0" applyNumberFormat="1" applyBorder="1" applyAlignment="1">
      <alignment horizontal="center" vertical="center" wrapText="1"/>
    </xf>
    <xf numFmtId="1" fontId="20" fillId="0" borderId="0" xfId="0" applyNumberFormat="1" applyFont="1" applyAlignment="1">
      <alignment horizontal="center" vertical="center" wrapText="1"/>
    </xf>
    <xf numFmtId="1" fontId="20" fillId="0" borderId="16" xfId="0" applyNumberFormat="1" applyFont="1" applyBorder="1" applyAlignment="1">
      <alignment horizontal="center" vertical="center" wrapText="1"/>
    </xf>
    <xf numFmtId="1" fontId="0" fillId="0" borderId="16" xfId="0" applyNumberForma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7" fillId="13" borderId="0" xfId="0" applyFont="1" applyFill="1" applyAlignment="1">
      <alignment horizontal="center" vertical="center" wrapText="1"/>
    </xf>
    <xf numFmtId="10" fontId="1" fillId="0" borderId="13" xfId="0" applyNumberFormat="1" applyFont="1" applyBorder="1" applyAlignment="1">
      <alignment horizontal="center" vertical="center" wrapText="1"/>
    </xf>
    <xf numFmtId="10" fontId="0" fillId="0" borderId="13" xfId="0" applyNumberFormat="1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10" fontId="1" fillId="6" borderId="13" xfId="0" applyNumberFormat="1" applyFont="1" applyFill="1" applyBorder="1" applyAlignment="1">
      <alignment horizontal="center" vertical="center" wrapText="1"/>
    </xf>
    <xf numFmtId="10" fontId="0" fillId="6" borderId="13" xfId="0" applyNumberFormat="1" applyFill="1" applyBorder="1" applyAlignment="1">
      <alignment horizontal="center" vertical="center" wrapText="1"/>
    </xf>
    <xf numFmtId="1" fontId="1" fillId="6" borderId="13" xfId="0" applyNumberFormat="1" applyFont="1" applyFill="1" applyBorder="1" applyAlignment="1">
      <alignment horizontal="center" vertical="center" wrapText="1"/>
    </xf>
    <xf numFmtId="1" fontId="0" fillId="6" borderId="13" xfId="0" applyNumberFormat="1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10" fontId="1" fillId="6" borderId="15" xfId="0" applyNumberFormat="1" applyFont="1" applyFill="1" applyBorder="1" applyAlignment="1">
      <alignment horizontal="center" vertical="center" wrapText="1"/>
    </xf>
    <xf numFmtId="10" fontId="0" fillId="6" borderId="15" xfId="0" applyNumberFormat="1" applyFill="1" applyBorder="1" applyAlignment="1">
      <alignment horizontal="center" vertical="center" wrapText="1"/>
    </xf>
    <xf numFmtId="1" fontId="1" fillId="6" borderId="15" xfId="0" applyNumberFormat="1" applyFont="1" applyFill="1" applyBorder="1" applyAlignment="1">
      <alignment horizontal="center" vertical="center" wrapText="1"/>
    </xf>
    <xf numFmtId="1" fontId="0" fillId="6" borderId="15" xfId="0" applyNumberForma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6" fontId="0" fillId="6" borderId="13" xfId="0" applyNumberFormat="1" applyFill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3" fontId="5" fillId="16" borderId="1" xfId="0" applyNumberFormat="1" applyFont="1" applyFill="1" applyBorder="1" applyAlignment="1">
      <alignment horizontal="center" vertical="center" wrapText="1"/>
    </xf>
    <xf numFmtId="3" fontId="1" fillId="16" borderId="0" xfId="0" applyNumberFormat="1" applyFont="1" applyFill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  <xf numFmtId="10" fontId="5" fillId="16" borderId="1" xfId="0" applyNumberFormat="1" applyFont="1" applyFill="1" applyBorder="1" applyAlignment="1">
      <alignment horizontal="center" vertical="center" wrapText="1"/>
    </xf>
    <xf numFmtId="0" fontId="5" fillId="16" borderId="9" xfId="0" applyFont="1" applyFill="1" applyBorder="1" applyAlignment="1">
      <alignment horizontal="center" vertical="center" wrapText="1"/>
    </xf>
    <xf numFmtId="3" fontId="5" fillId="16" borderId="9" xfId="0" applyNumberFormat="1" applyFont="1" applyFill="1" applyBorder="1" applyAlignment="1">
      <alignment horizontal="center" vertical="center" wrapText="1"/>
    </xf>
    <xf numFmtId="3" fontId="10" fillId="16" borderId="9" xfId="0" applyNumberFormat="1" applyFont="1" applyFill="1" applyBorder="1" applyAlignment="1">
      <alignment wrapText="1"/>
    </xf>
    <xf numFmtId="6" fontId="10" fillId="16" borderId="9" xfId="0" applyNumberFormat="1" applyFont="1" applyFill="1" applyBorder="1" applyAlignment="1">
      <alignment wrapText="1"/>
    </xf>
    <xf numFmtId="6" fontId="22" fillId="16" borderId="9" xfId="0" applyNumberFormat="1" applyFont="1" applyFill="1" applyBorder="1"/>
    <xf numFmtId="10" fontId="10" fillId="16" borderId="9" xfId="0" applyNumberFormat="1" applyFont="1" applyFill="1" applyBorder="1" applyAlignment="1">
      <alignment wrapText="1"/>
    </xf>
    <xf numFmtId="0" fontId="1" fillId="16" borderId="0" xfId="0" applyFont="1" applyFill="1"/>
    <xf numFmtId="1" fontId="23" fillId="0" borderId="16" xfId="0" applyNumberFormat="1" applyFont="1" applyBorder="1" applyAlignment="1">
      <alignment horizontal="center" vertical="center" wrapText="1"/>
    </xf>
    <xf numFmtId="1" fontId="23" fillId="0" borderId="0" xfId="0" applyNumberFormat="1" applyFont="1" applyAlignment="1">
      <alignment horizontal="center" vertical="center" wrapText="1"/>
    </xf>
    <xf numFmtId="3" fontId="7" fillId="17" borderId="1" xfId="0" applyNumberFormat="1" applyFont="1" applyFill="1" applyBorder="1" applyAlignment="1">
      <alignment horizontal="center" vertical="center" wrapText="1"/>
    </xf>
    <xf numFmtId="3" fontId="3" fillId="17" borderId="0" xfId="0" applyNumberFormat="1" applyFont="1" applyFill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3" fillId="17" borderId="0" xfId="0" applyFont="1" applyFill="1" applyAlignment="1">
      <alignment horizontal="center" vertical="center" wrapText="1"/>
    </xf>
    <xf numFmtId="10" fontId="7" fillId="17" borderId="1" xfId="0" applyNumberFormat="1" applyFont="1" applyFill="1" applyBorder="1" applyAlignment="1">
      <alignment horizontal="center" vertical="center" wrapText="1"/>
    </xf>
    <xf numFmtId="0" fontId="7" fillId="17" borderId="9" xfId="0" applyFont="1" applyFill="1" applyBorder="1" applyAlignment="1">
      <alignment horizontal="center" vertical="center" wrapText="1"/>
    </xf>
    <xf numFmtId="3" fontId="7" fillId="17" borderId="9" xfId="0" applyNumberFormat="1" applyFont="1" applyFill="1" applyBorder="1" applyAlignment="1">
      <alignment horizontal="center" vertical="center" wrapText="1"/>
    </xf>
    <xf numFmtId="3" fontId="8" fillId="17" borderId="9" xfId="0" applyNumberFormat="1" applyFont="1" applyFill="1" applyBorder="1" applyAlignment="1">
      <alignment wrapText="1"/>
    </xf>
    <xf numFmtId="6" fontId="8" fillId="17" borderId="9" xfId="0" applyNumberFormat="1" applyFont="1" applyFill="1" applyBorder="1" applyAlignment="1">
      <alignment wrapText="1"/>
    </xf>
    <xf numFmtId="6" fontId="9" fillId="17" borderId="9" xfId="0" applyNumberFormat="1" applyFont="1" applyFill="1" applyBorder="1"/>
    <xf numFmtId="10" fontId="8" fillId="17" borderId="9" xfId="0" applyNumberFormat="1" applyFont="1" applyFill="1" applyBorder="1" applyAlignment="1">
      <alignment wrapText="1"/>
    </xf>
    <xf numFmtId="0" fontId="0" fillId="17" borderId="0" xfId="0" applyFill="1" applyAlignment="1">
      <alignment horizontal="center" vertical="center" wrapText="1"/>
    </xf>
    <xf numFmtId="3" fontId="0" fillId="6" borderId="13" xfId="0" applyNumberFormat="1" applyFill="1" applyBorder="1" applyAlignment="1">
      <alignment horizontal="center" vertical="center" wrapText="1"/>
    </xf>
    <xf numFmtId="3" fontId="0" fillId="6" borderId="15" xfId="0" applyNumberForma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 vertical="center" wrapText="1"/>
    </xf>
    <xf numFmtId="164" fontId="0" fillId="6" borderId="13" xfId="0" applyNumberFormat="1" applyFill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 vertical="center" wrapText="1"/>
    </xf>
    <xf numFmtId="3" fontId="0" fillId="6" borderId="13" xfId="0" applyNumberFormat="1" applyFill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0" fontId="0" fillId="0" borderId="17" xfId="0" applyNumberFormat="1" applyBorder="1" applyAlignment="1">
      <alignment horizontal="center" vertical="center" wrapText="1"/>
    </xf>
    <xf numFmtId="3" fontId="0" fillId="0" borderId="13" xfId="0" applyNumberFormat="1" applyBorder="1" applyAlignment="1">
      <alignment horizontal="center" vertical="center" wrapText="1"/>
    </xf>
    <xf numFmtId="3" fontId="0" fillId="6" borderId="15" xfId="0" applyNumberFormat="1" applyFill="1" applyBorder="1" applyAlignment="1">
      <alignment horizontal="center" vertical="top"/>
    </xf>
    <xf numFmtId="1" fontId="1" fillId="0" borderId="2" xfId="0" applyNumberFormat="1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10" fontId="1" fillId="6" borderId="14" xfId="0" applyNumberFormat="1" applyFont="1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10" fontId="0" fillId="6" borderId="14" xfId="0" applyNumberFormat="1" applyFill="1" applyBorder="1" applyAlignment="1">
      <alignment horizontal="center" vertical="center" wrapText="1"/>
    </xf>
    <xf numFmtId="1" fontId="1" fillId="6" borderId="2" xfId="0" applyNumberFormat="1" applyFont="1" applyFill="1" applyBorder="1" applyAlignment="1">
      <alignment horizontal="center" vertical="center" wrapText="1"/>
    </xf>
    <xf numFmtId="1" fontId="0" fillId="6" borderId="2" xfId="0" applyNumberFormat="1" applyFill="1" applyBorder="1" applyAlignment="1">
      <alignment horizontal="center" vertical="center" wrapText="1"/>
    </xf>
    <xf numFmtId="0" fontId="24" fillId="0" borderId="5" xfId="0" applyFont="1" applyBorder="1"/>
    <xf numFmtId="165" fontId="24" fillId="0" borderId="5" xfId="0" applyNumberFormat="1" applyFont="1" applyBorder="1"/>
    <xf numFmtId="9" fontId="24" fillId="0" borderId="5" xfId="0" applyNumberFormat="1" applyFont="1" applyBorder="1"/>
    <xf numFmtId="164" fontId="0" fillId="6" borderId="2" xfId="0" applyNumberFormat="1" applyFill="1" applyBorder="1" applyAlignment="1">
      <alignment horizontal="center" vertical="center" wrapText="1"/>
    </xf>
    <xf numFmtId="9" fontId="0" fillId="6" borderId="2" xfId="0" applyNumberForma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7" fillId="13" borderId="0" xfId="0" applyFont="1" applyFill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3" fontId="7" fillId="11" borderId="1" xfId="0" applyNumberFormat="1" applyFont="1" applyFill="1" applyBorder="1" applyAlignment="1">
      <alignment horizontal="center" vertical="center" wrapText="1"/>
    </xf>
    <xf numFmtId="3" fontId="1" fillId="11" borderId="0" xfId="0" applyNumberFormat="1" applyFont="1" applyFill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3" fontId="3" fillId="11" borderId="0" xfId="0" applyNumberFormat="1" applyFont="1" applyFill="1" applyAlignment="1">
      <alignment horizontal="center" vertical="center" wrapText="1"/>
    </xf>
    <xf numFmtId="10" fontId="7" fillId="11" borderId="1" xfId="0" applyNumberFormat="1" applyFont="1" applyFill="1" applyBorder="1" applyAlignment="1">
      <alignment horizontal="center" vertical="center" wrapText="1"/>
    </xf>
    <xf numFmtId="4" fontId="3" fillId="11" borderId="0" xfId="0" applyNumberFormat="1" applyFont="1" applyFill="1" applyAlignment="1">
      <alignment horizontal="center" vertical="center" wrapText="1"/>
    </xf>
    <xf numFmtId="4" fontId="7" fillId="11" borderId="1" xfId="0" applyNumberFormat="1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3" fontId="4" fillId="11" borderId="0" xfId="0" applyNumberFormat="1" applyFont="1" applyFill="1" applyAlignment="1">
      <alignment horizontal="center" vertical="center" wrapText="1"/>
    </xf>
    <xf numFmtId="3" fontId="8" fillId="11" borderId="9" xfId="0" applyNumberFormat="1" applyFont="1" applyFill="1" applyBorder="1" applyAlignment="1">
      <alignment wrapText="1"/>
    </xf>
    <xf numFmtId="6" fontId="8" fillId="11" borderId="9" xfId="0" applyNumberFormat="1" applyFont="1" applyFill="1" applyBorder="1" applyAlignment="1">
      <alignment wrapText="1"/>
    </xf>
    <xf numFmtId="6" fontId="9" fillId="11" borderId="9" xfId="0" applyNumberFormat="1" applyFont="1" applyFill="1" applyBorder="1"/>
    <xf numFmtId="10" fontId="8" fillId="11" borderId="9" xfId="0" applyNumberFormat="1" applyFont="1" applyFill="1" applyBorder="1" applyAlignment="1">
      <alignment wrapText="1"/>
    </xf>
    <xf numFmtId="0" fontId="0" fillId="11" borderId="0" xfId="0" applyFill="1"/>
    <xf numFmtId="3" fontId="7" fillId="11" borderId="9" xfId="0" applyNumberFormat="1" applyFont="1" applyFill="1" applyBorder="1" applyAlignment="1">
      <alignment horizontal="center" vertical="center" wrapText="1"/>
    </xf>
    <xf numFmtId="0" fontId="9" fillId="11" borderId="9" xfId="0" applyFont="1" applyFill="1" applyBorder="1"/>
    <xf numFmtId="0" fontId="0" fillId="11" borderId="0" xfId="0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1" fontId="3" fillId="11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21" fillId="0" borderId="13" xfId="0" applyNumberFormat="1" applyFont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0" fontId="7" fillId="0" borderId="0" xfId="0" applyNumberFormat="1" applyFont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29" fillId="24" borderId="10" xfId="0" applyFont="1" applyFill="1" applyBorder="1" applyAlignment="1">
      <alignment horizontal="center" vertical="center" wrapText="1"/>
    </xf>
    <xf numFmtId="0" fontId="29" fillId="24" borderId="5" xfId="0" applyFont="1" applyFill="1" applyBorder="1" applyAlignment="1">
      <alignment horizontal="center" vertical="center" wrapText="1"/>
    </xf>
    <xf numFmtId="165" fontId="29" fillId="24" borderId="5" xfId="0" applyNumberFormat="1" applyFont="1" applyFill="1" applyBorder="1" applyAlignment="1">
      <alignment horizontal="center" vertical="center" wrapText="1"/>
    </xf>
    <xf numFmtId="0" fontId="29" fillId="25" borderId="8" xfId="0" applyFont="1" applyFill="1" applyBorder="1" applyAlignment="1">
      <alignment horizontal="center" vertical="center" wrapText="1"/>
    </xf>
    <xf numFmtId="0" fontId="29" fillId="26" borderId="8" xfId="0" applyFont="1" applyFill="1" applyBorder="1" applyAlignment="1">
      <alignment horizontal="center" vertical="center" wrapText="1"/>
    </xf>
    <xf numFmtId="0" fontId="29" fillId="26" borderId="3" xfId="0" applyFont="1" applyFill="1" applyBorder="1" applyAlignment="1">
      <alignment horizontal="center" vertical="center" wrapText="1"/>
    </xf>
    <xf numFmtId="0" fontId="29" fillId="27" borderId="12" xfId="0" applyFont="1" applyFill="1" applyBorder="1" applyAlignment="1">
      <alignment horizontal="center" vertical="center" wrapText="1"/>
    </xf>
    <xf numFmtId="9" fontId="29" fillId="27" borderId="12" xfId="0" applyNumberFormat="1" applyFont="1" applyFill="1" applyBorder="1" applyAlignment="1">
      <alignment horizontal="center" vertical="center" wrapText="1"/>
    </xf>
    <xf numFmtId="0" fontId="29" fillId="27" borderId="2" xfId="0" applyFont="1" applyFill="1" applyBorder="1" applyAlignment="1">
      <alignment horizontal="center" vertical="center" wrapText="1"/>
    </xf>
    <xf numFmtId="0" fontId="29" fillId="27" borderId="11" xfId="0" applyFont="1" applyFill="1" applyBorder="1" applyAlignment="1">
      <alignment horizontal="center" vertical="center" wrapText="1"/>
    </xf>
    <xf numFmtId="49" fontId="29" fillId="27" borderId="11" xfId="0" applyNumberFormat="1" applyFont="1" applyFill="1" applyBorder="1" applyAlignment="1">
      <alignment horizontal="center" vertical="center" wrapText="1"/>
    </xf>
    <xf numFmtId="0" fontId="29" fillId="27" borderId="4" xfId="0" applyFont="1" applyFill="1" applyBorder="1" applyAlignment="1">
      <alignment horizontal="center" vertical="center" wrapText="1"/>
    </xf>
    <xf numFmtId="0" fontId="29" fillId="28" borderId="10" xfId="0" applyFont="1" applyFill="1" applyBorder="1" applyAlignment="1">
      <alignment horizontal="center" vertical="center" wrapText="1"/>
    </xf>
    <xf numFmtId="0" fontId="29" fillId="28" borderId="8" xfId="0" applyFont="1" applyFill="1" applyBorder="1" applyAlignment="1">
      <alignment horizontal="center" vertical="center" wrapText="1"/>
    </xf>
    <xf numFmtId="165" fontId="29" fillId="28" borderId="8" xfId="0" applyNumberFormat="1" applyFont="1" applyFill="1" applyBorder="1" applyAlignment="1">
      <alignment horizontal="center" vertical="center" wrapText="1"/>
    </xf>
    <xf numFmtId="0" fontId="29" fillId="28" borderId="3" xfId="0" applyFont="1" applyFill="1" applyBorder="1" applyAlignment="1">
      <alignment horizontal="center" vertical="center" wrapText="1"/>
    </xf>
    <xf numFmtId="0" fontId="29" fillId="29" borderId="10" xfId="0" applyFont="1" applyFill="1" applyBorder="1" applyAlignment="1">
      <alignment horizontal="center" vertical="center" wrapText="1"/>
    </xf>
    <xf numFmtId="0" fontId="29" fillId="29" borderId="8" xfId="0" applyFont="1" applyFill="1" applyBorder="1" applyAlignment="1">
      <alignment horizontal="center" vertical="center" wrapText="1"/>
    </xf>
    <xf numFmtId="49" fontId="24" fillId="0" borderId="20" xfId="0" applyNumberFormat="1" applyFont="1" applyBorder="1" applyAlignment="1">
      <alignment horizontal="right" vertical="top" wrapText="1"/>
    </xf>
    <xf numFmtId="49" fontId="24" fillId="0" borderId="21" xfId="0" applyNumberFormat="1" applyFont="1" applyBorder="1" applyAlignment="1">
      <alignment horizontal="right" vertical="top" wrapText="1"/>
    </xf>
    <xf numFmtId="49" fontId="24" fillId="0" borderId="22" xfId="0" applyNumberFormat="1" applyFont="1" applyBorder="1" applyAlignment="1">
      <alignment horizontal="right" vertical="top" wrapText="1"/>
    </xf>
    <xf numFmtId="49" fontId="24" fillId="0" borderId="20" xfId="0" applyNumberFormat="1" applyFont="1" applyBorder="1" applyAlignment="1">
      <alignment horizontal="right"/>
    </xf>
    <xf numFmtId="0" fontId="32" fillId="0" borderId="23" xfId="0" applyFont="1" applyBorder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0" fontId="32" fillId="0" borderId="23" xfId="0" applyFont="1" applyBorder="1" applyAlignment="1">
      <alignment horizontal="center"/>
    </xf>
    <xf numFmtId="0" fontId="33" fillId="0" borderId="23" xfId="0" applyFont="1" applyBorder="1" applyAlignment="1">
      <alignment horizontal="center" vertical="center"/>
    </xf>
    <xf numFmtId="3" fontId="31" fillId="0" borderId="23" xfId="0" applyNumberFormat="1" applyFont="1" applyBorder="1" applyAlignment="1">
      <alignment horizontal="center" vertical="center"/>
    </xf>
    <xf numFmtId="166" fontId="31" fillId="0" borderId="23" xfId="0" applyNumberFormat="1" applyFont="1" applyBorder="1" applyAlignment="1">
      <alignment horizontal="center" vertical="center"/>
    </xf>
    <xf numFmtId="10" fontId="31" fillId="0" borderId="23" xfId="0" applyNumberFormat="1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 wrapText="1"/>
    </xf>
    <xf numFmtId="10" fontId="33" fillId="0" borderId="23" xfId="0" applyNumberFormat="1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29" fillId="29" borderId="30" xfId="0" applyFont="1" applyFill="1" applyBorder="1" applyAlignment="1">
      <alignment horizontal="center" vertical="center" wrapText="1"/>
    </xf>
    <xf numFmtId="0" fontId="25" fillId="30" borderId="29" xfId="0" applyFont="1" applyFill="1" applyBorder="1"/>
    <xf numFmtId="3" fontId="24" fillId="0" borderId="0" xfId="0" applyNumberFormat="1" applyFont="1"/>
    <xf numFmtId="10" fontId="24" fillId="0" borderId="0" xfId="0" applyNumberFormat="1" applyFont="1"/>
    <xf numFmtId="165" fontId="24" fillId="0" borderId="0" xfId="0" applyNumberFormat="1" applyFont="1"/>
    <xf numFmtId="0" fontId="24" fillId="0" borderId="0" xfId="0" applyFont="1"/>
    <xf numFmtId="9" fontId="24" fillId="0" borderId="0" xfId="0" applyNumberFormat="1" applyFont="1"/>
    <xf numFmtId="49" fontId="24" fillId="0" borderId="0" xfId="0" applyNumberFormat="1" applyFont="1" applyAlignment="1">
      <alignment horizontal="right"/>
    </xf>
    <xf numFmtId="1" fontId="24" fillId="0" borderId="0" xfId="0" applyNumberFormat="1" applyFont="1"/>
    <xf numFmtId="166" fontId="24" fillId="0" borderId="0" xfId="0" applyNumberFormat="1" applyFont="1"/>
    <xf numFmtId="6" fontId="24" fillId="0" borderId="0" xfId="0" applyNumberFormat="1" applyFont="1"/>
    <xf numFmtId="8" fontId="24" fillId="0" borderId="0" xfId="0" applyNumberFormat="1" applyFont="1"/>
    <xf numFmtId="9" fontId="24" fillId="0" borderId="31" xfId="0" applyNumberFormat="1" applyFont="1" applyBorder="1"/>
    <xf numFmtId="0" fontId="24" fillId="0" borderId="0" xfId="0" applyFont="1" applyAlignment="1">
      <alignment horizontal="right"/>
    </xf>
    <xf numFmtId="0" fontId="24" fillId="0" borderId="31" xfId="0" applyFont="1" applyBorder="1"/>
    <xf numFmtId="0" fontId="25" fillId="31" borderId="29" xfId="0" applyFont="1" applyFill="1" applyBorder="1"/>
    <xf numFmtId="0" fontId="25" fillId="32" borderId="32" xfId="0" applyFont="1" applyFill="1" applyBorder="1"/>
    <xf numFmtId="0" fontId="24" fillId="0" borderId="33" xfId="0" applyFont="1" applyBorder="1"/>
    <xf numFmtId="165" fontId="24" fillId="0" borderId="33" xfId="0" applyNumberFormat="1" applyFont="1" applyBorder="1"/>
    <xf numFmtId="9" fontId="24" fillId="0" borderId="33" xfId="0" applyNumberFormat="1" applyFont="1" applyBorder="1"/>
    <xf numFmtId="9" fontId="24" fillId="0" borderId="34" xfId="0" applyNumberFormat="1" applyFont="1" applyBorder="1"/>
    <xf numFmtId="0" fontId="24" fillId="0" borderId="34" xfId="0" applyFont="1" applyBorder="1"/>
    <xf numFmtId="49" fontId="24" fillId="0" borderId="33" xfId="0" applyNumberFormat="1" applyFont="1" applyBorder="1" applyAlignment="1">
      <alignment horizontal="right"/>
    </xf>
    <xf numFmtId="0" fontId="24" fillId="0" borderId="33" xfId="0" applyFont="1" applyBorder="1" applyAlignment="1">
      <alignment horizontal="right"/>
    </xf>
    <xf numFmtId="49" fontId="24" fillId="0" borderId="33" xfId="0" applyNumberFormat="1" applyFont="1" applyBorder="1"/>
    <xf numFmtId="46" fontId="24" fillId="0" borderId="33" xfId="0" applyNumberFormat="1" applyFont="1" applyBorder="1"/>
    <xf numFmtId="164" fontId="24" fillId="0" borderId="33" xfId="0" applyNumberFormat="1" applyFont="1" applyBorder="1"/>
    <xf numFmtId="9" fontId="24" fillId="0" borderId="35" xfId="0" applyNumberFormat="1" applyFont="1" applyBorder="1"/>
    <xf numFmtId="0" fontId="35" fillId="3" borderId="1" xfId="0" applyFont="1" applyFill="1" applyBorder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3" fontId="8" fillId="0" borderId="0" xfId="0" applyNumberFormat="1" applyFont="1" applyAlignment="1">
      <alignment wrapText="1"/>
    </xf>
    <xf numFmtId="6" fontId="8" fillId="0" borderId="0" xfId="0" applyNumberFormat="1" applyFont="1" applyAlignment="1">
      <alignment wrapText="1"/>
    </xf>
    <xf numFmtId="6" fontId="9" fillId="0" borderId="0" xfId="0" applyNumberFormat="1" applyFont="1"/>
    <xf numFmtId="10" fontId="8" fillId="0" borderId="0" xfId="0" applyNumberFormat="1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31" fillId="33" borderId="23" xfId="0" applyFont="1" applyFill="1" applyBorder="1" applyAlignment="1">
      <alignment horizontal="center" vertical="center" wrapText="1"/>
    </xf>
    <xf numFmtId="0" fontId="33" fillId="34" borderId="23" xfId="0" applyFont="1" applyFill="1" applyBorder="1" applyAlignment="1">
      <alignment horizontal="center" vertical="center" wrapText="1"/>
    </xf>
    <xf numFmtId="0" fontId="33" fillId="36" borderId="23" xfId="0" applyFont="1" applyFill="1" applyBorder="1" applyAlignment="1">
      <alignment horizontal="center" vertical="center" wrapText="1"/>
    </xf>
    <xf numFmtId="0" fontId="33" fillId="35" borderId="23" xfId="0" applyFont="1" applyFill="1" applyBorder="1" applyAlignment="1">
      <alignment horizontal="center" vertical="center" wrapText="1"/>
    </xf>
    <xf numFmtId="0" fontId="34" fillId="10" borderId="2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21" fillId="0" borderId="13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5" fillId="0" borderId="24" xfId="0" applyFont="1" applyBorder="1" applyAlignment="1">
      <alignment horizontal="center" wrapText="1"/>
    </xf>
    <xf numFmtId="0" fontId="24" fillId="0" borderId="29" xfId="0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28" fillId="18" borderId="25" xfId="0" applyFont="1" applyFill="1" applyBorder="1" applyAlignment="1">
      <alignment horizontal="center" vertical="center"/>
    </xf>
    <xf numFmtId="0" fontId="28" fillId="18" borderId="26" xfId="0" applyFont="1" applyFill="1" applyBorder="1" applyAlignment="1">
      <alignment horizontal="center" vertical="center"/>
    </xf>
    <xf numFmtId="0" fontId="28" fillId="18" borderId="3" xfId="0" applyFont="1" applyFill="1" applyBorder="1" applyAlignment="1">
      <alignment horizontal="center" vertical="center"/>
    </xf>
    <xf numFmtId="0" fontId="28" fillId="18" borderId="8" xfId="0" applyFont="1" applyFill="1" applyBorder="1" applyAlignment="1">
      <alignment horizontal="center" vertical="center"/>
    </xf>
    <xf numFmtId="0" fontId="28" fillId="19" borderId="27" xfId="0" applyFont="1" applyFill="1" applyBorder="1" applyAlignment="1">
      <alignment horizontal="center" vertical="center" wrapText="1"/>
    </xf>
    <xf numFmtId="0" fontId="28" fillId="19" borderId="25" xfId="0" applyFont="1" applyFill="1" applyBorder="1" applyAlignment="1">
      <alignment horizontal="center" vertical="center" wrapText="1"/>
    </xf>
    <xf numFmtId="0" fontId="28" fillId="19" borderId="26" xfId="0" applyFont="1" applyFill="1" applyBorder="1" applyAlignment="1">
      <alignment horizontal="center" vertical="center" wrapText="1"/>
    </xf>
    <xf numFmtId="0" fontId="28" fillId="19" borderId="19" xfId="0" applyFont="1" applyFill="1" applyBorder="1" applyAlignment="1">
      <alignment horizontal="center" vertical="center" wrapText="1"/>
    </xf>
    <xf numFmtId="0" fontId="28" fillId="19" borderId="3" xfId="0" applyFont="1" applyFill="1" applyBorder="1" applyAlignment="1">
      <alignment horizontal="center" vertical="center" wrapText="1"/>
    </xf>
    <xf numFmtId="0" fontId="28" fillId="19" borderId="8" xfId="0" applyFont="1" applyFill="1" applyBorder="1" applyAlignment="1">
      <alignment horizontal="center" vertical="center" wrapText="1"/>
    </xf>
    <xf numFmtId="0" fontId="28" fillId="21" borderId="27" xfId="0" applyFont="1" applyFill="1" applyBorder="1" applyAlignment="1">
      <alignment horizontal="center" vertical="center"/>
    </xf>
    <xf numFmtId="0" fontId="28" fillId="21" borderId="25" xfId="0" applyFont="1" applyFill="1" applyBorder="1" applyAlignment="1">
      <alignment horizontal="center" vertical="center"/>
    </xf>
    <xf numFmtId="0" fontId="28" fillId="21" borderId="26" xfId="0" applyFont="1" applyFill="1" applyBorder="1" applyAlignment="1">
      <alignment horizontal="center" vertical="center"/>
    </xf>
    <xf numFmtId="0" fontId="28" fillId="21" borderId="19" xfId="0" applyFont="1" applyFill="1" applyBorder="1" applyAlignment="1">
      <alignment horizontal="center" vertical="center"/>
    </xf>
    <xf numFmtId="0" fontId="28" fillId="21" borderId="3" xfId="0" applyFont="1" applyFill="1" applyBorder="1" applyAlignment="1">
      <alignment horizontal="center" vertical="center"/>
    </xf>
    <xf numFmtId="0" fontId="28" fillId="21" borderId="8" xfId="0" applyFont="1" applyFill="1" applyBorder="1" applyAlignment="1">
      <alignment horizontal="center" vertical="center"/>
    </xf>
    <xf numFmtId="0" fontId="28" fillId="23" borderId="27" xfId="0" applyFont="1" applyFill="1" applyBorder="1" applyAlignment="1">
      <alignment horizontal="center" vertical="center"/>
    </xf>
    <xf numFmtId="0" fontId="28" fillId="23" borderId="25" xfId="0" applyFont="1" applyFill="1" applyBorder="1" applyAlignment="1">
      <alignment horizontal="center" vertical="center"/>
    </xf>
    <xf numFmtId="0" fontId="28" fillId="23" borderId="28" xfId="0" applyFont="1" applyFill="1" applyBorder="1" applyAlignment="1">
      <alignment horizontal="center" vertical="center"/>
    </xf>
    <xf numFmtId="0" fontId="28" fillId="23" borderId="19" xfId="0" applyFont="1" applyFill="1" applyBorder="1" applyAlignment="1">
      <alignment horizontal="center" vertical="center"/>
    </xf>
    <xf numFmtId="0" fontId="28" fillId="23" borderId="3" xfId="0" applyFont="1" applyFill="1" applyBorder="1" applyAlignment="1">
      <alignment horizontal="center" vertical="center"/>
    </xf>
    <xf numFmtId="0" fontId="28" fillId="23" borderId="30" xfId="0" applyFont="1" applyFill="1" applyBorder="1" applyAlignment="1">
      <alignment horizontal="center" vertical="center"/>
    </xf>
    <xf numFmtId="0" fontId="28" fillId="20" borderId="27" xfId="0" applyFont="1" applyFill="1" applyBorder="1" applyAlignment="1">
      <alignment horizontal="center" vertical="center"/>
    </xf>
    <xf numFmtId="0" fontId="28" fillId="20" borderId="25" xfId="0" applyFont="1" applyFill="1" applyBorder="1" applyAlignment="1">
      <alignment horizontal="center" vertical="center"/>
    </xf>
    <xf numFmtId="0" fontId="28" fillId="20" borderId="26" xfId="0" applyFont="1" applyFill="1" applyBorder="1" applyAlignment="1">
      <alignment horizontal="center" vertical="center"/>
    </xf>
    <xf numFmtId="0" fontId="28" fillId="20" borderId="19" xfId="0" applyFont="1" applyFill="1" applyBorder="1" applyAlignment="1">
      <alignment horizontal="center" vertical="center"/>
    </xf>
    <xf numFmtId="0" fontId="28" fillId="20" borderId="3" xfId="0" applyFont="1" applyFill="1" applyBorder="1" applyAlignment="1">
      <alignment horizontal="center" vertical="center"/>
    </xf>
    <xf numFmtId="0" fontId="28" fillId="20" borderId="8" xfId="0" applyFont="1" applyFill="1" applyBorder="1" applyAlignment="1">
      <alignment horizontal="center" vertical="center"/>
    </xf>
    <xf numFmtId="0" fontId="28" fillId="22" borderId="27" xfId="0" applyFont="1" applyFill="1" applyBorder="1" applyAlignment="1">
      <alignment horizontal="center" vertical="center"/>
    </xf>
    <xf numFmtId="0" fontId="28" fillId="22" borderId="25" xfId="0" applyFont="1" applyFill="1" applyBorder="1" applyAlignment="1">
      <alignment horizontal="center" vertical="center"/>
    </xf>
    <xf numFmtId="0" fontId="28" fillId="22" borderId="26" xfId="0" applyFont="1" applyFill="1" applyBorder="1" applyAlignment="1">
      <alignment horizontal="center" vertical="center"/>
    </xf>
    <xf numFmtId="0" fontId="28" fillId="22" borderId="19" xfId="0" applyFont="1" applyFill="1" applyBorder="1" applyAlignment="1">
      <alignment horizontal="center" vertical="center"/>
    </xf>
    <xf numFmtId="0" fontId="28" fillId="22" borderId="3" xfId="0" applyFont="1" applyFill="1" applyBorder="1" applyAlignment="1">
      <alignment horizontal="center" vertical="center"/>
    </xf>
    <xf numFmtId="0" fontId="28" fillId="22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7C6"/>
      <color rgb="FFFAE6F8"/>
      <color rgb="FFF7DFF5"/>
      <color rgb="FFFAC3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County Sex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EC-2A49-A69D-EE137D957381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0D-4447-B5B9-66D2D460C3C8}"/>
              </c:ext>
            </c:extLst>
          </c:dPt>
          <c:cat>
            <c:strRef>
              <c:f>Dashboard!$B$15:$B$16</c:f>
              <c:strCache>
                <c:ptCount val="2"/>
                <c:pt idx="0">
                  <c:v>Male (%)</c:v>
                </c:pt>
                <c:pt idx="1">
                  <c:v>Female (%)</c:v>
                </c:pt>
              </c:strCache>
            </c:strRef>
          </c:cat>
          <c:val>
            <c:numRef>
              <c:f>Dashboard!$C$15:$C$16</c:f>
              <c:numCache>
                <c:formatCode>0.00%</c:formatCode>
                <c:ptCount val="2"/>
                <c:pt idx="0">
                  <c:v>0.45679999999999998</c:v>
                </c:pt>
                <c:pt idx="1">
                  <c:v>0.54320000000000002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0D-4447-B5B9-66D2D460C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Disease Rates (per 100,000</a:t>
            </a:r>
            <a:r>
              <a:rPr lang="en-US" baseline="0"/>
              <a:t> pop.)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(Dashboard!$E$14,Dashboard!$E$16:$E$17)</c:f>
              <c:strCache>
                <c:ptCount val="3"/>
                <c:pt idx="0">
                  <c:v>Crude Death Rate (per 100,000)</c:v>
                </c:pt>
                <c:pt idx="1">
                  <c:v>Chlamydie Rate (per 100,000)</c:v>
                </c:pt>
                <c:pt idx="2">
                  <c:v>Gonorrhea Rate (per 100,000)</c:v>
                </c:pt>
              </c:strCache>
            </c:strRef>
          </c:cat>
          <c:val>
            <c:numRef>
              <c:f>(Dashboard!$F$14,Dashboard!$F$16:$F$17)</c:f>
              <c:numCache>
                <c:formatCode>General</c:formatCode>
                <c:ptCount val="3"/>
                <c:pt idx="0">
                  <c:v>135.1</c:v>
                </c:pt>
                <c:pt idx="1">
                  <c:v>306.23</c:v>
                </c:pt>
                <c:pt idx="2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D-9640-B74F-164F6D8E7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432960"/>
        <c:axId val="178427584"/>
      </c:barChart>
      <c:catAx>
        <c:axId val="17843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7584"/>
        <c:crosses val="autoZero"/>
        <c:auto val="1"/>
        <c:lblAlgn val="ctr"/>
        <c:lblOffset val="100"/>
        <c:noMultiLvlLbl val="0"/>
      </c:catAx>
      <c:valAx>
        <c:axId val="17842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3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Adults Reporting Excessive Drinking, by County 2018-2022 </a:t>
            </a:r>
          </a:p>
          <a:p>
            <a:pPr>
              <a:defRPr/>
            </a:pPr>
            <a:r>
              <a:rPr lang="en-US" sz="900"/>
              <a:t>RHIC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'Raw Data'!$AA$4</c:f>
              <c:strCache>
                <c:ptCount val="1"/>
                <c:pt idx="0">
                  <c:v>Percentage of Adults Reporting Excessive Drinking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62-4951-8AC3-C8BB5A123F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E62-4951-8AC3-C8BB5A123F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E62-4951-8AC3-C8BB5A123F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E62-4951-8AC3-C8BB5A123F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E62-4951-8AC3-C8BB5A123F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E62-4951-8AC3-C8BB5A123F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E62-4951-8AC3-C8BB5A123F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E62-4951-8AC3-C8BB5A123F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E62-4951-8AC3-C8BB5A123F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E62-4951-8AC3-C8BB5A123F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E62-4951-8AC3-C8BB5A123F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CE62-4951-8AC3-C8BB5A123FA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CE62-4951-8AC3-C8BB5A123F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'Raw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'Raw Data'!$AA$5:$AA$17</c:f>
              <c:numCache>
                <c:formatCode>0.00%</c:formatCode>
                <c:ptCount val="13"/>
                <c:pt idx="0">
                  <c:v>0.1426</c:v>
                </c:pt>
                <c:pt idx="1">
                  <c:v>0.1648</c:v>
                </c:pt>
                <c:pt idx="2">
                  <c:v>0.1469</c:v>
                </c:pt>
                <c:pt idx="3">
                  <c:v>0.15920000000000001</c:v>
                </c:pt>
                <c:pt idx="4">
                  <c:v>0.13389999999999999</c:v>
                </c:pt>
                <c:pt idx="5">
                  <c:v>0.1353</c:v>
                </c:pt>
                <c:pt idx="6">
                  <c:v>0.1368</c:v>
                </c:pt>
                <c:pt idx="7">
                  <c:v>0.13880000000000001</c:v>
                </c:pt>
                <c:pt idx="8">
                  <c:v>0.15629999999999999</c:v>
                </c:pt>
                <c:pt idx="9">
                  <c:v>0.1452</c:v>
                </c:pt>
                <c:pt idx="10">
                  <c:v>0.1166</c:v>
                </c:pt>
                <c:pt idx="11">
                  <c:v>0.1216</c:v>
                </c:pt>
                <c:pt idx="12">
                  <c:v>0.12989999999999999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B1-4717-BE0D-9C7255BBCCE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Chlamydia Infections per 100,000 pop. by County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2018 - 2022</a:t>
            </a:r>
          </a:p>
          <a:p>
            <a:pPr>
              <a:defRPr/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RHIC 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'Raw Data'!$AD$4</c:f>
              <c:strCache>
                <c:ptCount val="1"/>
                <c:pt idx="0">
                  <c:v>Chlamydia Infections per 100,000 pop.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101-4EA6-A24E-5CCBB1DBB5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101-4EA6-A24E-5CCBB1DBB5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101-4EA6-A24E-5CCBB1DBB5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101-4EA6-A24E-5CCBB1DBB5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101-4EA6-A24E-5CCBB1DBB5C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101-4EA6-A24E-5CCBB1DBB5C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101-4EA6-A24E-5CCBB1DBB5C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101-4EA6-A24E-5CCBB1DBB5C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101-4EA6-A24E-5CCBB1DBB5C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101-4EA6-A24E-5CCBB1DBB5C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B101-4EA6-A24E-5CCBB1DBB5C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B101-4EA6-A24E-5CCBB1DBB5C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B101-4EA6-A24E-5CCBB1DBB5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'Raw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'Raw Data'!$AD$5:$AD$17</c:f>
              <c:numCache>
                <c:formatCode>General</c:formatCode>
                <c:ptCount val="13"/>
                <c:pt idx="0">
                  <c:v>692.96</c:v>
                </c:pt>
                <c:pt idx="1">
                  <c:v>387.89</c:v>
                </c:pt>
                <c:pt idx="2">
                  <c:v>937.68</c:v>
                </c:pt>
                <c:pt idx="3">
                  <c:v>306.23</c:v>
                </c:pt>
                <c:pt idx="4">
                  <c:v>901.14</c:v>
                </c:pt>
                <c:pt idx="5">
                  <c:v>448.84</c:v>
                </c:pt>
                <c:pt idx="6">
                  <c:v>267.82</c:v>
                </c:pt>
                <c:pt idx="7">
                  <c:v>907.29</c:v>
                </c:pt>
                <c:pt idx="8" formatCode="#,##0.00">
                  <c:v>1142.57</c:v>
                </c:pt>
                <c:pt idx="9">
                  <c:v>701.15</c:v>
                </c:pt>
                <c:pt idx="10">
                  <c:v>625</c:v>
                </c:pt>
                <c:pt idx="11">
                  <c:v>969.93</c:v>
                </c:pt>
                <c:pt idx="12">
                  <c:v>718.82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D0-4E64-9AF9-A2952052E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Gonorrhea Infections per 100,000 pop. by County, 2018 - 2022 RHIC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6939943973500844"/>
          <c:y val="0.19869623007857803"/>
          <c:w val="0.25470205345205049"/>
          <c:h val="0.54047594226316908"/>
        </c:manualLayout>
      </c:layout>
      <c:pieChart>
        <c:varyColors val="1"/>
        <c:ser>
          <c:idx val="0"/>
          <c:order val="0"/>
          <c:tx>
            <c:strRef>
              <c:f>'Raw Data'!$AG$4</c:f>
              <c:strCache>
                <c:ptCount val="1"/>
                <c:pt idx="0">
                  <c:v>Gonorrhea Infections per 100,000 pop.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4E-41CD-9FD9-50086C79E1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C4E-41CD-9FD9-50086C79E1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C4E-41CD-9FD9-50086C79E11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C4E-41CD-9FD9-50086C79E11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C4E-41CD-9FD9-50086C79E11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C4E-41CD-9FD9-50086C79E11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C4E-41CD-9FD9-50086C79E11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C4E-41CD-9FD9-50086C79E11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C4E-41CD-9FD9-50086C79E11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C4E-41CD-9FD9-50086C79E11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C4E-41CD-9FD9-50086C79E11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C4E-41CD-9FD9-50086C79E11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3C4E-41CD-9FD9-50086C79E11A}"/>
              </c:ext>
            </c:extLst>
          </c:dPt>
          <c:dLbls>
            <c:dLbl>
              <c:idx val="1"/>
              <c:layout>
                <c:manualLayout>
                  <c:x val="1.5298625470938855E-2"/>
                  <c:y val="6.425640446477308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C4E-41CD-9FD9-50086C79E1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'Raw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'Raw Data'!$AG$5:$AG$17</c:f>
              <c:numCache>
                <c:formatCode>General</c:formatCode>
                <c:ptCount val="13"/>
                <c:pt idx="0">
                  <c:v>287.89999999999998</c:v>
                </c:pt>
                <c:pt idx="1">
                  <c:v>112.1</c:v>
                </c:pt>
                <c:pt idx="2">
                  <c:v>317</c:v>
                </c:pt>
                <c:pt idx="3">
                  <c:v>137</c:v>
                </c:pt>
                <c:pt idx="4">
                  <c:v>244.8</c:v>
                </c:pt>
                <c:pt idx="5">
                  <c:v>185.2</c:v>
                </c:pt>
                <c:pt idx="6">
                  <c:v>193.6</c:v>
                </c:pt>
                <c:pt idx="7">
                  <c:v>513.1</c:v>
                </c:pt>
                <c:pt idx="8">
                  <c:v>534.29999999999995</c:v>
                </c:pt>
                <c:pt idx="9">
                  <c:v>276.5</c:v>
                </c:pt>
                <c:pt idx="10">
                  <c:v>192.6</c:v>
                </c:pt>
                <c:pt idx="11">
                  <c:v>381.7</c:v>
                </c:pt>
                <c:pt idx="12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04-4CD3-B2C5-57C93E6D401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Average Total Pop. by County, 2018 - 2023 RHIC &amp; Oasis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917665666133322"/>
          <c:y val="0.2478978273174493"/>
          <c:w val="0.45102110959136543"/>
          <c:h val="0.6402224772205739"/>
        </c:manualLayout>
      </c:layout>
      <c:pieChart>
        <c:varyColors val="1"/>
        <c:ser>
          <c:idx val="0"/>
          <c:order val="0"/>
          <c:tx>
            <c:strRef>
              <c:f>'Cleaned Data'!$B$22</c:f>
              <c:strCache>
                <c:ptCount val="1"/>
                <c:pt idx="0">
                  <c:v>Total Population</c:v>
                </c:pt>
              </c:strCache>
            </c:strRef>
          </c:tx>
          <c:spPr>
            <a:ln w="25400"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E12-434A-8D78-BC5DA699AE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E12-434A-8D78-BC5DA699AE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E12-434A-8D78-BC5DA699AE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E12-434A-8D78-BC5DA699AE3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E12-434A-8D78-BC5DA699AE3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E12-434A-8D78-BC5DA699AE3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E12-434A-8D78-BC5DA699AE3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E12-434A-8D78-BC5DA699AE3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D88-4CC4-B64F-21F3B3514F9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E12-434A-8D78-BC5DA699AE3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E12-434A-8D78-BC5DA699AE3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E12-434A-8D78-BC5DA699AE3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5E12-434A-8D78-BC5DA699AE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'Cleaned Data'!$A$23:$A$35</c:f>
              <c:strCache>
                <c:ptCount val="13"/>
                <c:pt idx="0">
                  <c:v>Burke </c:v>
                </c:pt>
                <c:pt idx="1">
                  <c:v>Columbia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</c:v>
                </c:pt>
                <c:pt idx="11">
                  <c:v>Warren </c:v>
                </c:pt>
                <c:pt idx="12">
                  <c:v>Wilkes </c:v>
                </c:pt>
              </c:strCache>
            </c:strRef>
          </c:cat>
          <c:val>
            <c:numRef>
              <c:f>'Cleaned Data'!$B$23:$B$35</c:f>
              <c:numCache>
                <c:formatCode>#,##0</c:formatCode>
                <c:ptCount val="13"/>
                <c:pt idx="0">
                  <c:v>82463.5</c:v>
                </c:pt>
                <c:pt idx="1">
                  <c:v>557761.5</c:v>
                </c:pt>
                <c:pt idx="2">
                  <c:v>79718</c:v>
                </c:pt>
                <c:pt idx="3">
                  <c:v>10332.5</c:v>
                </c:pt>
                <c:pt idx="4">
                  <c:v>53835.5</c:v>
                </c:pt>
                <c:pt idx="5">
                  <c:v>30382</c:v>
                </c:pt>
                <c:pt idx="6">
                  <c:v>27531</c:v>
                </c:pt>
                <c:pt idx="7">
                  <c:v>75432.5</c:v>
                </c:pt>
                <c:pt idx="8">
                  <c:v>715015.5</c:v>
                </c:pt>
                <c:pt idx="9">
                  <c:v>49099</c:v>
                </c:pt>
                <c:pt idx="10">
                  <c:v>5554.5</c:v>
                </c:pt>
                <c:pt idx="11">
                  <c:v>18217.5</c:v>
                </c:pt>
                <c:pt idx="12">
                  <c:v>33793.5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8-4CC4-B64F-21F3B3514F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Percentages of Males and Females, by County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2018 - 2023</a:t>
            </a:r>
          </a:p>
          <a:p>
            <a:pPr>
              <a:defRPr/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RHIC &amp; Oasis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255496280992178E-2"/>
          <c:y val="0.25487071781991022"/>
          <c:w val="0.72480783912150226"/>
          <c:h val="0.577625661815201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'Cleaned Data'!$D$22</c:f>
              <c:strCache>
                <c:ptCount val="1"/>
                <c:pt idx="0">
                  <c:v>% Male                              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Data'!$A$23:$A$35</c:f>
              <c:strCache>
                <c:ptCount val="13"/>
                <c:pt idx="0">
                  <c:v>Burke </c:v>
                </c:pt>
                <c:pt idx="1">
                  <c:v>Columbia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</c:v>
                </c:pt>
                <c:pt idx="11">
                  <c:v>Warren </c:v>
                </c:pt>
                <c:pt idx="12">
                  <c:v>Wilkes </c:v>
                </c:pt>
              </c:strCache>
            </c:strRef>
          </c:cat>
          <c:val>
            <c:numRef>
              <c:f>'Cleaned Data'!$D$23:$D$35</c:f>
              <c:numCache>
                <c:formatCode>0</c:formatCode>
                <c:ptCount val="13"/>
                <c:pt idx="0">
                  <c:v>47.861174944066164</c:v>
                </c:pt>
                <c:pt idx="1">
                  <c:v>48.908359576629081</c:v>
                </c:pt>
                <c:pt idx="2">
                  <c:v>49.966757821320151</c:v>
                </c:pt>
                <c:pt idx="3">
                  <c:v>49.073312363900314</c:v>
                </c:pt>
                <c:pt idx="4">
                  <c:v>48.571110141077909</c:v>
                </c:pt>
                <c:pt idx="5">
                  <c:v>52.837206240537157</c:v>
                </c:pt>
                <c:pt idx="6">
                  <c:v>48.563437579455886</c:v>
                </c:pt>
                <c:pt idx="7">
                  <c:v>47.185894674046331</c:v>
                </c:pt>
                <c:pt idx="8">
                  <c:v>48.462375990450553</c:v>
                </c:pt>
                <c:pt idx="9">
                  <c:v>49.139493676042285</c:v>
                </c:pt>
                <c:pt idx="10">
                  <c:v>49.329372580790348</c:v>
                </c:pt>
                <c:pt idx="11">
                  <c:v>47.190887882530532</c:v>
                </c:pt>
                <c:pt idx="12">
                  <c:v>48.583307440780032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3-4CFC-9EE5-B22CF7E9830D}"/>
            </c:ext>
          </c:extLst>
        </c:ser>
        <c:ser>
          <c:idx val="1"/>
          <c:order val="1"/>
          <c:tx>
            <c:strRef>
              <c:f>'Cleaned Data'!$E$22</c:f>
              <c:strCache>
                <c:ptCount val="1"/>
                <c:pt idx="0">
                  <c:v>% Female                            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'Cleaned Data'!$A$23:$A$35</c:f>
              <c:strCache>
                <c:ptCount val="13"/>
                <c:pt idx="0">
                  <c:v>Burke </c:v>
                </c:pt>
                <c:pt idx="1">
                  <c:v>Columbia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</c:v>
                </c:pt>
                <c:pt idx="11">
                  <c:v>Warren </c:v>
                </c:pt>
                <c:pt idx="12">
                  <c:v>Wilkes </c:v>
                </c:pt>
              </c:strCache>
            </c:strRef>
          </c:cat>
          <c:val>
            <c:numRef>
              <c:f>'Cleaned Data'!$E$23:$E$35</c:f>
              <c:numCache>
                <c:formatCode>0</c:formatCode>
                <c:ptCount val="13"/>
                <c:pt idx="0">
                  <c:v>52.138825055933836</c:v>
                </c:pt>
                <c:pt idx="1">
                  <c:v>51.091640423370919</c:v>
                </c:pt>
                <c:pt idx="2">
                  <c:v>50.033242178679849</c:v>
                </c:pt>
                <c:pt idx="3">
                  <c:v>50.926687636099686</c:v>
                </c:pt>
                <c:pt idx="4">
                  <c:v>51.428889858922091</c:v>
                </c:pt>
                <c:pt idx="5">
                  <c:v>47.162793759462843</c:v>
                </c:pt>
                <c:pt idx="6">
                  <c:v>51.436562420544121</c:v>
                </c:pt>
                <c:pt idx="7">
                  <c:v>52.814105325953662</c:v>
                </c:pt>
                <c:pt idx="8">
                  <c:v>51.537624009549447</c:v>
                </c:pt>
                <c:pt idx="9">
                  <c:v>50.860506323957722</c:v>
                </c:pt>
                <c:pt idx="10">
                  <c:v>50.670627419209644</c:v>
                </c:pt>
                <c:pt idx="11">
                  <c:v>52.809112117469468</c:v>
                </c:pt>
                <c:pt idx="12">
                  <c:v>51.416692559219968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23-4CFC-9EE5-B22CF7E98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208304"/>
        <c:axId val="419208784"/>
      </c:barChart>
      <c:catAx>
        <c:axId val="41920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208784"/>
        <c:crosses val="autoZero"/>
        <c:auto val="1"/>
        <c:lblAlgn val="ctr"/>
        <c:lblOffset val="100"/>
        <c:noMultiLvlLbl val="0"/>
      </c:catAx>
      <c:valAx>
        <c:axId val="41920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20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911985008319945"/>
          <c:y val="0.45952142833990911"/>
          <c:w val="0.13417580679633043"/>
          <c:h val="0.100673949980106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Pregnancy Rate per 100,000 pop., by County,</a:t>
            </a:r>
            <a:r>
              <a:rPr lang="en-US" baseline="0"/>
              <a:t> </a:t>
            </a:r>
            <a:r>
              <a:rPr lang="en-US"/>
              <a:t>2018-2023 </a:t>
            </a:r>
          </a:p>
          <a:p>
            <a:pPr algn="ctr">
              <a:defRPr/>
            </a:pPr>
            <a:r>
              <a:rPr lang="en-US" sz="1050"/>
              <a:t>RHIC </a:t>
            </a:r>
          </a:p>
        </c:rich>
      </c:tx>
      <c:layout>
        <c:manualLayout>
          <c:xMode val="edge"/>
          <c:yMode val="edge"/>
          <c:x val="0.12632186040894186"/>
          <c:y val="4.47882996161528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683882709892907"/>
          <c:y val="0.26980485036883528"/>
          <c:w val="0.37676958042368253"/>
          <c:h val="0.6338464954481533"/>
        </c:manualLayout>
      </c:layout>
      <c:pieChart>
        <c:varyColors val="1"/>
        <c:ser>
          <c:idx val="0"/>
          <c:order val="0"/>
          <c:tx>
            <c:strRef>
              <c:f>'Cleaned Data'!$T$4</c:f>
              <c:strCache>
                <c:ptCount val="1"/>
                <c:pt idx="0">
                  <c:v>Pregnancy 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3E-4DF6-BC8C-1A3E9266BD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3E-4DF6-BC8C-1A3E9266BD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3E-4DF6-BC8C-1A3E9266BD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3E-4DF6-BC8C-1A3E9266BD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23E-4DF6-BC8C-1A3E9266BD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23E-4DF6-BC8C-1A3E9266BDB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23E-4DF6-BC8C-1A3E9266BDB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23E-4DF6-BC8C-1A3E9266BDB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23E-4DF6-BC8C-1A3E9266BDB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23E-4DF6-BC8C-1A3E9266BDB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23E-4DF6-BC8C-1A3E9266BDB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23E-4DF6-BC8C-1A3E9266BDB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23E-4DF6-BC8C-1A3E9266BDB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  <a:p>
                    <a:endParaRPr lang="en-US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923E-4DF6-BC8C-1A3E9266BDB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C</a:t>
                    </a:r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23E-4DF6-BC8C-1A3E9266BDB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E</a:t>
                    </a:r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23E-4DF6-BC8C-1A3E9266BDB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Gl</a:t>
                    </a:r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923E-4DF6-BC8C-1A3E9266BDB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JF</a:t>
                    </a:r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923E-4DF6-BC8C-1A3E9266BDB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JN</a:t>
                    </a:r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923E-4DF6-BC8C-1A3E9266BDB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L</a:t>
                    </a:r>
                  </a:p>
                  <a:p>
                    <a:endParaRPr lang="en-US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923E-4DF6-BC8C-1A3E9266BDB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M</a:t>
                    </a:r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923E-4DF6-BC8C-1A3E9266BDB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R</a:t>
                    </a:r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923E-4DF6-BC8C-1A3E9266BDB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S</a:t>
                    </a:r>
                  </a:p>
                  <a:p>
                    <a:endParaRPr lang="en-US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923E-4DF6-BC8C-1A3E9266BDB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T</a:t>
                    </a:r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923E-4DF6-BC8C-1A3E9266BDB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Wa</a:t>
                    </a:r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923E-4DF6-BC8C-1A3E9266BDB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Wi</a:t>
                    </a:r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923E-4DF6-BC8C-1A3E9266BDB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Data'!$T$5:$T$17</c:f>
              <c:numCache>
                <c:formatCode>General</c:formatCode>
                <c:ptCount val="13"/>
                <c:pt idx="0">
                  <c:v>18.2</c:v>
                </c:pt>
                <c:pt idx="1">
                  <c:v>5.9</c:v>
                </c:pt>
                <c:pt idx="2">
                  <c:v>21.5</c:v>
                </c:pt>
                <c:pt idx="3">
                  <c:v>17.100000000000001</c:v>
                </c:pt>
                <c:pt idx="4">
                  <c:v>22.6</c:v>
                </c:pt>
                <c:pt idx="5">
                  <c:v>17.100000000000001</c:v>
                </c:pt>
                <c:pt idx="6">
                  <c:v>8.5</c:v>
                </c:pt>
                <c:pt idx="7">
                  <c:v>21.5</c:v>
                </c:pt>
                <c:pt idx="8" formatCode="#,##0">
                  <c:v>22.3</c:v>
                </c:pt>
                <c:pt idx="9">
                  <c:v>25.3</c:v>
                </c:pt>
                <c:pt idx="10">
                  <c:v>12.3</c:v>
                </c:pt>
                <c:pt idx="11">
                  <c:v>21.8</c:v>
                </c:pt>
                <c:pt idx="12">
                  <c:v>18.100000000000001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2-4397-8544-0BBCCF12A14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STD Rate per 100,000 pop., by County 2018 - 2023 </a:t>
            </a:r>
            <a:r>
              <a:rPr lang="en-US" sz="1100"/>
              <a:t>Oasis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'Cleaned Data'!$AJ$4</c:f>
              <c:strCache>
                <c:ptCount val="1"/>
                <c:pt idx="0">
                  <c:v>STD Rate Per 100,000 Pop.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32-4A8C-BBC6-9EDB27DF4D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32-4A8C-BBC6-9EDB27DF4D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32-4A8C-BBC6-9EDB27DF4D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32-4A8C-BBC6-9EDB27DF4DD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F32-4A8C-BBC6-9EDB27DF4DD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F32-4A8C-BBC6-9EDB27DF4DD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F32-4A8C-BBC6-9EDB27DF4DD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F32-4A8C-BBC6-9EDB27DF4DD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F32-4A8C-BBC6-9EDB27DF4DD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1F32-4A8C-BBC6-9EDB27DF4DD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1F32-4A8C-BBC6-9EDB27DF4DD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1F32-4A8C-BBC6-9EDB27DF4DD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1F32-4A8C-BBC6-9EDB27DF4D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Data'!$AJ$5:$AJ$17</c:f>
              <c:numCache>
                <c:formatCode>General</c:formatCode>
                <c:ptCount val="13"/>
                <c:pt idx="0" formatCode="#,##0.00">
                  <c:v>1052.7</c:v>
                </c:pt>
                <c:pt idx="1">
                  <c:v>429.5</c:v>
                </c:pt>
                <c:pt idx="2" formatCode="#,##0.00">
                  <c:v>1130.9000000000001</c:v>
                </c:pt>
                <c:pt idx="3">
                  <c:v>304</c:v>
                </c:pt>
                <c:pt idx="4" formatCode="#,##0.00">
                  <c:v>1057.8</c:v>
                </c:pt>
                <c:pt idx="5">
                  <c:v>618.5</c:v>
                </c:pt>
                <c:pt idx="6">
                  <c:v>441.5</c:v>
                </c:pt>
                <c:pt idx="7" formatCode="#,##0.00">
                  <c:v>1154.5</c:v>
                </c:pt>
                <c:pt idx="8" formatCode="#,##0.00">
                  <c:v>1806.1</c:v>
                </c:pt>
                <c:pt idx="9">
                  <c:v>879.2</c:v>
                </c:pt>
                <c:pt idx="10" formatCode="#,##0.00">
                  <c:v>728.3</c:v>
                </c:pt>
                <c:pt idx="11" formatCode="#,##0.00">
                  <c:v>1110.8</c:v>
                </c:pt>
                <c:pt idx="12">
                  <c:v>914.2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1-4380-AFA8-46FD419054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Infant Mortality Rate per 1,000 Live Births, by County,</a:t>
            </a:r>
            <a:r>
              <a:rPr lang="en-US" baseline="0"/>
              <a:t> </a:t>
            </a:r>
            <a:r>
              <a:rPr lang="en-US"/>
              <a:t>2018 - 2023 </a:t>
            </a:r>
            <a:r>
              <a:rPr lang="en-US" sz="1050"/>
              <a:t>Oasis</a:t>
            </a:r>
            <a:r>
              <a:rPr lang="en-US"/>
              <a:t> </a:t>
            </a:r>
            <a:r>
              <a:rPr lang="en-US" sz="1100"/>
              <a:t>**Data &lt;4 not shown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'Cleaned Data'!$AQ$4</c:f>
              <c:strCache>
                <c:ptCount val="1"/>
                <c:pt idx="0">
                  <c:v>Infant Mortality Rate (per 1,000 Live Births)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Data'!$AQ$5:$AQ$17</c:f>
              <c:numCache>
                <c:formatCode>General</c:formatCode>
                <c:ptCount val="13"/>
                <c:pt idx="0">
                  <c:v>6.9</c:v>
                </c:pt>
                <c:pt idx="1">
                  <c:v>5.0999999999999996</c:v>
                </c:pt>
                <c:pt idx="2">
                  <c:v>8</c:v>
                </c:pt>
                <c:pt idx="3">
                  <c:v>0</c:v>
                </c:pt>
                <c:pt idx="4">
                  <c:v>8.6999999999999993</c:v>
                </c:pt>
                <c:pt idx="5">
                  <c:v>0</c:v>
                </c:pt>
                <c:pt idx="6">
                  <c:v>0</c:v>
                </c:pt>
                <c:pt idx="7">
                  <c:v>8.8000000000000007</c:v>
                </c:pt>
                <c:pt idx="8">
                  <c:v>10.1</c:v>
                </c:pt>
                <c:pt idx="9">
                  <c:v>8.9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A-4CF7-A6CB-CBCEC9031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13101008"/>
        <c:axId val="1013095248"/>
      </c:barChart>
      <c:catAx>
        <c:axId val="1013101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95248"/>
        <c:crosses val="autoZero"/>
        <c:auto val="1"/>
        <c:lblAlgn val="ctr"/>
        <c:lblOffset val="100"/>
        <c:noMultiLvlLbl val="0"/>
      </c:catAx>
      <c:valAx>
        <c:axId val="101309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10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Adults with BMI &gt;30.0 (Obese) by County, 2018 - 2022 RHIC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'Cleaned Data'!$AT$4</c:f>
              <c:strCache>
                <c:ptCount val="1"/>
                <c:pt idx="0">
                  <c:v>Adults with BMI &gt; 30.0 (Obese), Percent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Data'!$AT$5:$AT$17</c:f>
              <c:numCache>
                <c:formatCode>0.00%</c:formatCode>
                <c:ptCount val="13"/>
                <c:pt idx="0">
                  <c:v>0.3</c:v>
                </c:pt>
                <c:pt idx="1">
                  <c:v>0.33200000000000002</c:v>
                </c:pt>
                <c:pt idx="2">
                  <c:v>0.29299999999999998</c:v>
                </c:pt>
                <c:pt idx="3">
                  <c:v>0.17699999999999999</c:v>
                </c:pt>
                <c:pt idx="4">
                  <c:v>0.24399999999999999</c:v>
                </c:pt>
                <c:pt idx="5">
                  <c:v>0.21299999999999999</c:v>
                </c:pt>
                <c:pt idx="6">
                  <c:v>0.19500000000000001</c:v>
                </c:pt>
                <c:pt idx="7">
                  <c:v>0.27100000000000002</c:v>
                </c:pt>
                <c:pt idx="8">
                  <c:v>0.38100000000000001</c:v>
                </c:pt>
                <c:pt idx="9">
                  <c:v>0.248</c:v>
                </c:pt>
                <c:pt idx="10">
                  <c:v>0.17</c:v>
                </c:pt>
                <c:pt idx="11">
                  <c:v>0.20499999999999999</c:v>
                </c:pt>
                <c:pt idx="12">
                  <c:v>0.193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6-4D27-BE71-03EE4BAE7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0909376"/>
        <c:axId val="590914656"/>
      </c:barChart>
      <c:catAx>
        <c:axId val="59090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914656"/>
        <c:crosses val="autoZero"/>
        <c:auto val="1"/>
        <c:lblAlgn val="ctr"/>
        <c:lblOffset val="100"/>
        <c:noMultiLvlLbl val="0"/>
      </c:catAx>
      <c:valAx>
        <c:axId val="59091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90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Poor Mental Health Days per Month</a:t>
            </a:r>
            <a:r>
              <a:rPr lang="en-US" baseline="0"/>
              <a:t> by County, 2018 - 2023 </a:t>
            </a:r>
          </a:p>
          <a:p>
            <a:pPr>
              <a:defRPr/>
            </a:pPr>
            <a:r>
              <a:rPr lang="en-US" sz="1100"/>
              <a:t>RHIC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78081094230298"/>
          <c:y val="0.21131909902031332"/>
          <c:w val="0.86029993466150201"/>
          <c:h val="0.719719517520264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'Cleaned Data'!$BA$4</c:f>
              <c:strCache>
                <c:ptCount val="1"/>
                <c:pt idx="0">
                  <c:v>Average Poor Mental Health Days per Month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Data'!$BA$5:$BA$17</c:f>
              <c:numCache>
                <c:formatCode>General</c:formatCode>
                <c:ptCount val="13"/>
                <c:pt idx="0">
                  <c:v>5.2</c:v>
                </c:pt>
                <c:pt idx="1">
                  <c:v>4.8</c:v>
                </c:pt>
                <c:pt idx="2">
                  <c:v>5.6</c:v>
                </c:pt>
                <c:pt idx="3">
                  <c:v>5.7</c:v>
                </c:pt>
                <c:pt idx="4">
                  <c:v>5.7</c:v>
                </c:pt>
                <c:pt idx="5">
                  <c:v>5.8</c:v>
                </c:pt>
                <c:pt idx="6">
                  <c:v>5.7</c:v>
                </c:pt>
                <c:pt idx="7">
                  <c:v>5.5</c:v>
                </c:pt>
                <c:pt idx="8">
                  <c:v>5.6</c:v>
                </c:pt>
                <c:pt idx="9">
                  <c:v>5.4</c:v>
                </c:pt>
                <c:pt idx="10">
                  <c:v>5.5</c:v>
                </c:pt>
                <c:pt idx="11">
                  <c:v>5.8</c:v>
                </c:pt>
                <c:pt idx="12">
                  <c:v>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D-4211-87A4-0A36DC6AC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4047840"/>
        <c:axId val="1014048320"/>
      </c:barChart>
      <c:valAx>
        <c:axId val="101404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047840"/>
        <c:crosses val="autoZero"/>
        <c:crossBetween val="between"/>
      </c:valAx>
      <c:catAx>
        <c:axId val="10140478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0483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Cancer Incidence Rate per 100,000 pop. by County, 2018 - 2022 RHIC                         				**gaps=data not available</a:t>
            </a:r>
          </a:p>
        </c:rich>
      </c:tx>
      <c:layout>
        <c:manualLayout>
          <c:xMode val="edge"/>
          <c:yMode val="edge"/>
          <c:x val="0.1931565214730023"/>
          <c:y val="3.40437445319335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'Cleaned Data'!$BK$4</c:f>
              <c:strCache>
                <c:ptCount val="1"/>
                <c:pt idx="0">
                  <c:v>Breast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Data'!$BK$5:$BK$17</c:f>
              <c:numCache>
                <c:formatCode>General</c:formatCode>
                <c:ptCount val="13"/>
                <c:pt idx="0">
                  <c:v>142.69999999999999</c:v>
                </c:pt>
                <c:pt idx="1">
                  <c:v>126.8</c:v>
                </c:pt>
                <c:pt idx="2">
                  <c:v>104.3</c:v>
                </c:pt>
                <c:pt idx="3">
                  <c:v>0</c:v>
                </c:pt>
                <c:pt idx="4">
                  <c:v>110.4</c:v>
                </c:pt>
                <c:pt idx="5">
                  <c:v>116.8</c:v>
                </c:pt>
                <c:pt idx="6">
                  <c:v>123.4</c:v>
                </c:pt>
                <c:pt idx="7">
                  <c:v>140.80000000000001</c:v>
                </c:pt>
                <c:pt idx="8">
                  <c:v>135.1</c:v>
                </c:pt>
                <c:pt idx="9">
                  <c:v>123.1</c:v>
                </c:pt>
                <c:pt idx="10">
                  <c:v>0</c:v>
                </c:pt>
                <c:pt idx="11">
                  <c:v>184.1</c:v>
                </c:pt>
                <c:pt idx="12">
                  <c:v>118.6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7-47CA-A5A1-5FCF15D7F912}"/>
            </c:ext>
          </c:extLst>
        </c:ser>
        <c:ser>
          <c:idx val="1"/>
          <c:order val="1"/>
          <c:tx>
            <c:strRef>
              <c:f>'Cleaned Data'!$BQ$4</c:f>
              <c:strCache>
                <c:ptCount val="1"/>
                <c:pt idx="0">
                  <c:v>Colon and Rectum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Data'!$BQ$5:$BQ$17</c:f>
              <c:numCache>
                <c:formatCode>General</c:formatCode>
                <c:ptCount val="13"/>
                <c:pt idx="0">
                  <c:v>64.400000000000006</c:v>
                </c:pt>
                <c:pt idx="1">
                  <c:v>26</c:v>
                </c:pt>
                <c:pt idx="2">
                  <c:v>55.2</c:v>
                </c:pt>
                <c:pt idx="3">
                  <c:v>0</c:v>
                </c:pt>
                <c:pt idx="4">
                  <c:v>38</c:v>
                </c:pt>
                <c:pt idx="5">
                  <c:v>0</c:v>
                </c:pt>
                <c:pt idx="6">
                  <c:v>44.6</c:v>
                </c:pt>
                <c:pt idx="7">
                  <c:v>60.3</c:v>
                </c:pt>
                <c:pt idx="8">
                  <c:v>36</c:v>
                </c:pt>
                <c:pt idx="9">
                  <c:v>47.1</c:v>
                </c:pt>
                <c:pt idx="10">
                  <c:v>0</c:v>
                </c:pt>
                <c:pt idx="11">
                  <c:v>68.7</c:v>
                </c:pt>
                <c:pt idx="12">
                  <c:v>57.7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E7-47CA-A5A1-5FCF15D7F912}"/>
            </c:ext>
          </c:extLst>
        </c:ser>
        <c:ser>
          <c:idx val="2"/>
          <c:order val="2"/>
          <c:tx>
            <c:strRef>
              <c:f>'Cleaned Data'!$BT$4</c:f>
              <c:strCache>
                <c:ptCount val="1"/>
                <c:pt idx="0">
                  <c:v>Lung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Data'!$BT$5:$BT$17</c:f>
              <c:numCache>
                <c:formatCode>General</c:formatCode>
                <c:ptCount val="13"/>
                <c:pt idx="0">
                  <c:v>81.5</c:v>
                </c:pt>
                <c:pt idx="1">
                  <c:v>48.6</c:v>
                </c:pt>
                <c:pt idx="2">
                  <c:v>79.8</c:v>
                </c:pt>
                <c:pt idx="3">
                  <c:v>82.5</c:v>
                </c:pt>
                <c:pt idx="4">
                  <c:v>84.3</c:v>
                </c:pt>
                <c:pt idx="5">
                  <c:v>49.4</c:v>
                </c:pt>
                <c:pt idx="6">
                  <c:v>70.400000000000006</c:v>
                </c:pt>
                <c:pt idx="7">
                  <c:v>65.900000000000006</c:v>
                </c:pt>
                <c:pt idx="8">
                  <c:v>69</c:v>
                </c:pt>
                <c:pt idx="9">
                  <c:v>64.8</c:v>
                </c:pt>
                <c:pt idx="10">
                  <c:v>0</c:v>
                </c:pt>
                <c:pt idx="11">
                  <c:v>89.7</c:v>
                </c:pt>
                <c:pt idx="12">
                  <c:v>59.1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E7-47CA-A5A1-5FCF15D7F912}"/>
            </c:ext>
          </c:extLst>
        </c:ser>
        <c:ser>
          <c:idx val="3"/>
          <c:order val="3"/>
          <c:tx>
            <c:strRef>
              <c:f>'Cleaned Data'!$BW$4</c:f>
              <c:strCache>
                <c:ptCount val="1"/>
                <c:pt idx="0">
                  <c:v>Prostate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Data'!$BW$5:$BW$17</c:f>
              <c:numCache>
                <c:formatCode>General</c:formatCode>
                <c:ptCount val="13"/>
                <c:pt idx="0">
                  <c:v>111.8</c:v>
                </c:pt>
                <c:pt idx="1">
                  <c:v>122.4</c:v>
                </c:pt>
                <c:pt idx="2">
                  <c:v>120.6</c:v>
                </c:pt>
                <c:pt idx="3">
                  <c:v>0</c:v>
                </c:pt>
                <c:pt idx="4">
                  <c:v>165.2</c:v>
                </c:pt>
                <c:pt idx="5">
                  <c:v>74</c:v>
                </c:pt>
                <c:pt idx="6">
                  <c:v>105.7</c:v>
                </c:pt>
                <c:pt idx="7">
                  <c:v>182.4</c:v>
                </c:pt>
                <c:pt idx="8">
                  <c:v>150.9</c:v>
                </c:pt>
                <c:pt idx="9">
                  <c:v>110.7</c:v>
                </c:pt>
                <c:pt idx="10">
                  <c:v>0</c:v>
                </c:pt>
                <c:pt idx="11">
                  <c:v>102.4</c:v>
                </c:pt>
                <c:pt idx="12">
                  <c:v>103.2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E7-47CA-A5A1-5FCF15D7F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2120000"/>
        <c:axId val="952122880"/>
      </c:barChart>
      <c:catAx>
        <c:axId val="95212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122880"/>
        <c:crosses val="autoZero"/>
        <c:auto val="1"/>
        <c:lblAlgn val="ctr"/>
        <c:lblOffset val="100"/>
        <c:noMultiLvlLbl val="0"/>
      </c:catAx>
      <c:valAx>
        <c:axId val="95212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12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'Cleaned Data'!$BE$4</c:f>
              <c:strCache>
                <c:ptCount val="1"/>
                <c:pt idx="0">
                  <c:v>Mental Health Care Provider Rate (per 100,000 Pop.)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Data'!$BE$5:$BE$17</c:f>
              <c:numCache>
                <c:formatCode>General</c:formatCode>
                <c:ptCount val="13"/>
                <c:pt idx="0">
                  <c:v>45.1</c:v>
                </c:pt>
                <c:pt idx="1">
                  <c:v>132.4</c:v>
                </c:pt>
                <c:pt idx="2">
                  <c:v>100.3</c:v>
                </c:pt>
                <c:pt idx="3">
                  <c:v>0</c:v>
                </c:pt>
                <c:pt idx="4">
                  <c:v>6.5</c:v>
                </c:pt>
                <c:pt idx="5">
                  <c:v>11.5</c:v>
                </c:pt>
                <c:pt idx="6">
                  <c:v>38.299999999999997</c:v>
                </c:pt>
                <c:pt idx="7">
                  <c:v>69.099999999999994</c:v>
                </c:pt>
                <c:pt idx="8">
                  <c:v>347.9</c:v>
                </c:pt>
                <c:pt idx="9">
                  <c:v>35.799999999999997</c:v>
                </c:pt>
                <c:pt idx="10">
                  <c:v>0</c:v>
                </c:pt>
                <c:pt idx="11">
                  <c:v>38.799999999999997</c:v>
                </c:pt>
                <c:pt idx="12">
                  <c:v>20.8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3-45E7-8DC3-795C4BCE4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0419808"/>
        <c:axId val="1260419328"/>
      </c:barChart>
      <c:catAx>
        <c:axId val="126041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419328"/>
        <c:crosses val="autoZero"/>
        <c:auto val="1"/>
        <c:lblAlgn val="ctr"/>
        <c:lblOffset val="100"/>
        <c:noMultiLvlLbl val="0"/>
      </c:catAx>
      <c:valAx>
        <c:axId val="126041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41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Mental Health Care Provider Rate per 100,000 pop. by County, 2018 - 2023 RHIC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'Cleaned Data'!$BE$4</c:f>
              <c:strCache>
                <c:ptCount val="1"/>
                <c:pt idx="0">
                  <c:v>Mental Health Care Provider Rate (per 100,000 Pop.)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Data'!$BE$5:$BE$17</c:f>
              <c:numCache>
                <c:formatCode>General</c:formatCode>
                <c:ptCount val="13"/>
                <c:pt idx="0">
                  <c:v>45.1</c:v>
                </c:pt>
                <c:pt idx="1">
                  <c:v>132.4</c:v>
                </c:pt>
                <c:pt idx="2">
                  <c:v>100.3</c:v>
                </c:pt>
                <c:pt idx="3">
                  <c:v>0</c:v>
                </c:pt>
                <c:pt idx="4">
                  <c:v>6.5</c:v>
                </c:pt>
                <c:pt idx="5">
                  <c:v>11.5</c:v>
                </c:pt>
                <c:pt idx="6">
                  <c:v>38.299999999999997</c:v>
                </c:pt>
                <c:pt idx="7">
                  <c:v>69.099999999999994</c:v>
                </c:pt>
                <c:pt idx="8">
                  <c:v>347.9</c:v>
                </c:pt>
                <c:pt idx="9">
                  <c:v>35.799999999999997</c:v>
                </c:pt>
                <c:pt idx="10">
                  <c:v>0</c:v>
                </c:pt>
                <c:pt idx="11">
                  <c:v>38.799999999999997</c:v>
                </c:pt>
                <c:pt idx="12">
                  <c:v>20.8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1-44ED-BEE8-454E5D297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3821728"/>
        <c:axId val="1713822688"/>
      </c:barChart>
      <c:catAx>
        <c:axId val="171382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822688"/>
        <c:crosses val="autoZero"/>
        <c:auto val="1"/>
        <c:lblAlgn val="ctr"/>
        <c:lblOffset val="100"/>
        <c:noMultiLvlLbl val="0"/>
      </c:catAx>
      <c:valAx>
        <c:axId val="171382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82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Population </a:t>
            </a:r>
            <a:r>
              <a:rPr lang="en-US"/>
              <a:t>Ages 0-4, by County, 2018 - 2022</a:t>
            </a:r>
          </a:p>
          <a:p>
            <a:pPr>
              <a:defRPr/>
            </a:pPr>
            <a:r>
              <a:rPr lang="en-US" sz="1100"/>
              <a:t> RHIC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'Cleaned Data'!$BY$4</c:f>
              <c:strCache>
                <c:ptCount val="1"/>
                <c:pt idx="0">
                  <c:v>Age 0-4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Data'!$BY$5:$BY$17</c:f>
              <c:numCache>
                <c:formatCode>#,##0</c:formatCode>
                <c:ptCount val="13"/>
                <c:pt idx="0" formatCode="General">
                  <c:v>1484</c:v>
                </c:pt>
                <c:pt idx="1">
                  <c:v>9500</c:v>
                </c:pt>
                <c:pt idx="2">
                  <c:v>1585</c:v>
                </c:pt>
                <c:pt idx="3" formatCode="General">
                  <c:v>141</c:v>
                </c:pt>
                <c:pt idx="4" formatCode="General">
                  <c:v>921</c:v>
                </c:pt>
                <c:pt idx="5" formatCode="General">
                  <c:v>266</c:v>
                </c:pt>
                <c:pt idx="6" formatCode="General">
                  <c:v>315</c:v>
                </c:pt>
                <c:pt idx="7">
                  <c:v>1358</c:v>
                </c:pt>
                <c:pt idx="8">
                  <c:v>13503</c:v>
                </c:pt>
                <c:pt idx="9" formatCode="General">
                  <c:v>763</c:v>
                </c:pt>
                <c:pt idx="10" formatCode="General">
                  <c:v>67</c:v>
                </c:pt>
                <c:pt idx="11" formatCode="General">
                  <c:v>277</c:v>
                </c:pt>
                <c:pt idx="12" formatCode="General">
                  <c:v>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C-4B31-B61C-EEE419D1D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0616880"/>
        <c:axId val="1370618800"/>
      </c:barChart>
      <c:catAx>
        <c:axId val="137061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18800"/>
        <c:crosses val="autoZero"/>
        <c:auto val="1"/>
        <c:lblAlgn val="ctr"/>
        <c:lblOffset val="100"/>
        <c:noMultiLvlLbl val="0"/>
      </c:catAx>
      <c:valAx>
        <c:axId val="137061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1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Population Age 5-17, by County</a:t>
            </a: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2018 - 2022</a:t>
            </a:r>
          </a:p>
          <a:p>
            <a:pPr>
              <a:defRPr sz="1200"/>
            </a:pPr>
            <a:r>
              <a:rPr lang="en-US" sz="105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RHIC </a:t>
            </a:r>
          </a:p>
          <a:p>
            <a:pPr>
              <a:defRPr sz="1200"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'Cleaned Data'!$BZ$4</c:f>
              <c:strCache>
                <c:ptCount val="1"/>
                <c:pt idx="0">
                  <c:v>Age 5-17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Data'!$BZ$5:$BZ$17</c:f>
              <c:numCache>
                <c:formatCode>#,##0</c:formatCode>
                <c:ptCount val="13"/>
                <c:pt idx="0" formatCode="General">
                  <c:v>4607</c:v>
                </c:pt>
                <c:pt idx="1">
                  <c:v>29755</c:v>
                </c:pt>
                <c:pt idx="2">
                  <c:v>4132</c:v>
                </c:pt>
                <c:pt idx="3" formatCode="General">
                  <c:v>481</c:v>
                </c:pt>
                <c:pt idx="4">
                  <c:v>2709</c:v>
                </c:pt>
                <c:pt idx="5">
                  <c:v>1357</c:v>
                </c:pt>
                <c:pt idx="6">
                  <c:v>1176</c:v>
                </c:pt>
                <c:pt idx="7">
                  <c:v>4044</c:v>
                </c:pt>
                <c:pt idx="8">
                  <c:v>33728</c:v>
                </c:pt>
                <c:pt idx="9">
                  <c:v>2123</c:v>
                </c:pt>
                <c:pt idx="10" formatCode="General">
                  <c:v>172</c:v>
                </c:pt>
                <c:pt idx="11" formatCode="General">
                  <c:v>780</c:v>
                </c:pt>
                <c:pt idx="12">
                  <c:v>1462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E-42B0-B30B-E53F7CC34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5984880"/>
        <c:axId val="1235982960"/>
      </c:barChart>
      <c:catAx>
        <c:axId val="123598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982960"/>
        <c:crosses val="autoZero"/>
        <c:auto val="1"/>
        <c:lblAlgn val="ctr"/>
        <c:lblOffset val="100"/>
        <c:noMultiLvlLbl val="0"/>
      </c:catAx>
      <c:valAx>
        <c:axId val="123598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98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Population Age 18-24,</a:t>
            </a:r>
            <a:r>
              <a:rPr lang="en-US" baseline="0"/>
              <a:t> by County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2018 - 2022</a:t>
            </a:r>
          </a:p>
          <a:p>
            <a:pPr>
              <a:defRPr/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RHIC 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'Cleaned Data'!$CA$4</c:f>
              <c:strCache>
                <c:ptCount val="1"/>
                <c:pt idx="0">
                  <c:v>Age 18-24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Data'!$CA$5:$CA$17</c:f>
              <c:numCache>
                <c:formatCode>#,##0</c:formatCode>
                <c:ptCount val="13"/>
                <c:pt idx="0" formatCode="General">
                  <c:v>2662</c:v>
                </c:pt>
                <c:pt idx="1">
                  <c:v>12875</c:v>
                </c:pt>
                <c:pt idx="2">
                  <c:v>1917</c:v>
                </c:pt>
                <c:pt idx="3" formatCode="General">
                  <c:v>294</c:v>
                </c:pt>
                <c:pt idx="4">
                  <c:v>1411</c:v>
                </c:pt>
                <c:pt idx="5" formatCode="General">
                  <c:v>474</c:v>
                </c:pt>
                <c:pt idx="6" formatCode="General">
                  <c:v>540</c:v>
                </c:pt>
                <c:pt idx="7">
                  <c:v>1608</c:v>
                </c:pt>
                <c:pt idx="8">
                  <c:v>23345</c:v>
                </c:pt>
                <c:pt idx="9" formatCode="General">
                  <c:v>890</c:v>
                </c:pt>
                <c:pt idx="10" formatCode="General">
                  <c:v>96</c:v>
                </c:pt>
                <c:pt idx="11" formatCode="General">
                  <c:v>448</c:v>
                </c:pt>
                <c:pt idx="12" formatCode="General">
                  <c:v>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9-483B-8CAD-C96AC3565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0617840"/>
        <c:axId val="1370617360"/>
      </c:barChart>
      <c:catAx>
        <c:axId val="137061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17360"/>
        <c:crosses val="autoZero"/>
        <c:auto val="1"/>
        <c:lblAlgn val="ctr"/>
        <c:lblOffset val="100"/>
        <c:noMultiLvlLbl val="0"/>
      </c:catAx>
      <c:valAx>
        <c:axId val="137061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1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Popualtion </a:t>
            </a:r>
            <a:r>
              <a:rPr lang="en-US"/>
              <a:t>Age 25-34, by County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2018 - 2022</a:t>
            </a:r>
          </a:p>
          <a:p>
            <a:pPr>
              <a:defRPr/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RHIC 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'Cleaned Data'!$CB$4</c:f>
              <c:strCache>
                <c:ptCount val="1"/>
                <c:pt idx="0">
                  <c:v>Age 25-34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Data'!$CB$5:$CB$17</c:f>
              <c:numCache>
                <c:formatCode>#,##0</c:formatCode>
                <c:ptCount val="13"/>
                <c:pt idx="0" formatCode="General">
                  <c:v>2191</c:v>
                </c:pt>
                <c:pt idx="1">
                  <c:v>21030</c:v>
                </c:pt>
                <c:pt idx="2">
                  <c:v>3249</c:v>
                </c:pt>
                <c:pt idx="3" formatCode="General">
                  <c:v>262</c:v>
                </c:pt>
                <c:pt idx="4">
                  <c:v>1778</c:v>
                </c:pt>
                <c:pt idx="5" formatCode="General">
                  <c:v>910</c:v>
                </c:pt>
                <c:pt idx="6" formatCode="General">
                  <c:v>654</c:v>
                </c:pt>
                <c:pt idx="7">
                  <c:v>2770</c:v>
                </c:pt>
                <c:pt idx="8">
                  <c:v>32995</c:v>
                </c:pt>
                <c:pt idx="9">
                  <c:v>1766</c:v>
                </c:pt>
                <c:pt idx="10" formatCode="General">
                  <c:v>243</c:v>
                </c:pt>
                <c:pt idx="11" formatCode="General">
                  <c:v>502</c:v>
                </c:pt>
                <c:pt idx="12">
                  <c:v>1153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2-4B0E-862A-858E98DD0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4265024"/>
        <c:axId val="1186745792"/>
      </c:barChart>
      <c:catAx>
        <c:axId val="123426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745792"/>
        <c:crosses val="autoZero"/>
        <c:auto val="1"/>
        <c:lblAlgn val="ctr"/>
        <c:lblOffset val="100"/>
        <c:noMultiLvlLbl val="0"/>
      </c:catAx>
      <c:valAx>
        <c:axId val="11867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26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Population Age 35-44, by County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2018 - 2022</a:t>
            </a:r>
          </a:p>
          <a:p>
            <a:pPr>
              <a:defRPr/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RHIC 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'Cleaned Data'!$CC$4</c:f>
              <c:strCache>
                <c:ptCount val="1"/>
                <c:pt idx="0">
                  <c:v>Age 35-44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Data'!$CC$5:$CC$17</c:f>
              <c:numCache>
                <c:formatCode>#,##0</c:formatCode>
                <c:ptCount val="13"/>
                <c:pt idx="0" formatCode="General">
                  <c:v>3070</c:v>
                </c:pt>
                <c:pt idx="1">
                  <c:v>22631</c:v>
                </c:pt>
                <c:pt idx="2">
                  <c:v>2881</c:v>
                </c:pt>
                <c:pt idx="3" formatCode="General">
                  <c:v>392</c:v>
                </c:pt>
                <c:pt idx="4">
                  <c:v>1987</c:v>
                </c:pt>
                <c:pt idx="5">
                  <c:v>1379</c:v>
                </c:pt>
                <c:pt idx="6" formatCode="General">
                  <c:v>953</c:v>
                </c:pt>
                <c:pt idx="7">
                  <c:v>2500</c:v>
                </c:pt>
                <c:pt idx="8">
                  <c:v>24866</c:v>
                </c:pt>
                <c:pt idx="9">
                  <c:v>1845</c:v>
                </c:pt>
                <c:pt idx="10" formatCode="General">
                  <c:v>206</c:v>
                </c:pt>
                <c:pt idx="11" formatCode="General">
                  <c:v>579</c:v>
                </c:pt>
                <c:pt idx="12">
                  <c:v>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7-4882-9CEE-30E427D40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8560768"/>
        <c:axId val="1378558368"/>
      </c:barChart>
      <c:catAx>
        <c:axId val="137856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558368"/>
        <c:crosses val="autoZero"/>
        <c:auto val="1"/>
        <c:lblAlgn val="ctr"/>
        <c:lblOffset val="100"/>
        <c:noMultiLvlLbl val="0"/>
      </c:catAx>
      <c:valAx>
        <c:axId val="137855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56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Poplation Age 45-54, by County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2018 - 2022</a:t>
            </a:r>
          </a:p>
          <a:p>
            <a:pPr>
              <a:defRPr/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RHIC 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'Cleaned Data'!$CD$4</c:f>
              <c:strCache>
                <c:ptCount val="1"/>
                <c:pt idx="0">
                  <c:v>Age 45-54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Data'!$CD$5:$CD$17</c:f>
              <c:numCache>
                <c:formatCode>#,##0</c:formatCode>
                <c:ptCount val="13"/>
                <c:pt idx="0" formatCode="General">
                  <c:v>2947</c:v>
                </c:pt>
                <c:pt idx="1">
                  <c:v>19907</c:v>
                </c:pt>
                <c:pt idx="2">
                  <c:v>2571</c:v>
                </c:pt>
                <c:pt idx="3" formatCode="General">
                  <c:v>424</c:v>
                </c:pt>
                <c:pt idx="4">
                  <c:v>1786</c:v>
                </c:pt>
                <c:pt idx="5" formatCode="General">
                  <c:v>915</c:v>
                </c:pt>
                <c:pt idx="6" formatCode="General">
                  <c:v>910</c:v>
                </c:pt>
                <c:pt idx="7">
                  <c:v>2534</c:v>
                </c:pt>
                <c:pt idx="8">
                  <c:v>22088</c:v>
                </c:pt>
                <c:pt idx="9">
                  <c:v>1687</c:v>
                </c:pt>
                <c:pt idx="10" formatCode="General">
                  <c:v>208</c:v>
                </c:pt>
                <c:pt idx="11" formatCode="General">
                  <c:v>619</c:v>
                </c:pt>
                <c:pt idx="12">
                  <c:v>1145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5-43D2-AF50-B3106A0C0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5077968"/>
        <c:axId val="1235080848"/>
      </c:barChart>
      <c:catAx>
        <c:axId val="123507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080848"/>
        <c:crosses val="autoZero"/>
        <c:auto val="1"/>
        <c:lblAlgn val="ctr"/>
        <c:lblOffset val="100"/>
        <c:noMultiLvlLbl val="0"/>
      </c:catAx>
      <c:valAx>
        <c:axId val="123508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07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Percent of Annual Salary Range by County, 2018   -  2022                                          (RHIC)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'Cleaned Data'!$CX$4</c:f>
              <c:strCache>
                <c:ptCount val="1"/>
                <c:pt idx="0">
                  <c:v>Under $25,000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Data'!$CX$5:$CX$17</c:f>
              <c:numCache>
                <c:formatCode>0.00%</c:formatCode>
                <c:ptCount val="13"/>
                <c:pt idx="0">
                  <c:v>0.27800000000000002</c:v>
                </c:pt>
                <c:pt idx="1">
                  <c:v>0.1045</c:v>
                </c:pt>
                <c:pt idx="2">
                  <c:v>0.247</c:v>
                </c:pt>
                <c:pt idx="3">
                  <c:v>0.22620000000000001</c:v>
                </c:pt>
                <c:pt idx="4">
                  <c:v>0.28360000000000002</c:v>
                </c:pt>
                <c:pt idx="5">
                  <c:v>0.41460000000000002</c:v>
                </c:pt>
                <c:pt idx="6">
                  <c:v>0.23150000000000001</c:v>
                </c:pt>
                <c:pt idx="7">
                  <c:v>0.21049999999999999</c:v>
                </c:pt>
                <c:pt idx="8">
                  <c:v>0.25619999999999998</c:v>
                </c:pt>
                <c:pt idx="9">
                  <c:v>0.24049999999999999</c:v>
                </c:pt>
                <c:pt idx="10">
                  <c:v>0.1928</c:v>
                </c:pt>
                <c:pt idx="11">
                  <c:v>0.24629999999999999</c:v>
                </c:pt>
                <c:pt idx="12">
                  <c:v>0.25819999999999999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4-489F-B2BE-700A22934DB0}"/>
            </c:ext>
          </c:extLst>
        </c:ser>
        <c:ser>
          <c:idx val="1"/>
          <c:order val="1"/>
          <c:tx>
            <c:strRef>
              <c:f>'Cleaned Data'!$CY$4</c:f>
              <c:strCache>
                <c:ptCount val="1"/>
                <c:pt idx="0">
                  <c:v>$25,000 - $49,999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Data'!$CY$5:$CY$17</c:f>
              <c:numCache>
                <c:formatCode>0.00%</c:formatCode>
                <c:ptCount val="13"/>
                <c:pt idx="0">
                  <c:v>0.21709999999999999</c:v>
                </c:pt>
                <c:pt idx="1">
                  <c:v>0.13400000000000001</c:v>
                </c:pt>
                <c:pt idx="2">
                  <c:v>0.28129999999999999</c:v>
                </c:pt>
                <c:pt idx="3">
                  <c:v>0.21859999999999999</c:v>
                </c:pt>
                <c:pt idx="4">
                  <c:v>0.24390000000000001</c:v>
                </c:pt>
                <c:pt idx="5">
                  <c:v>0.27179999999999999</c:v>
                </c:pt>
                <c:pt idx="6">
                  <c:v>0.26269999999999999</c:v>
                </c:pt>
                <c:pt idx="7">
                  <c:v>0.2407</c:v>
                </c:pt>
                <c:pt idx="8">
                  <c:v>0.2397</c:v>
                </c:pt>
                <c:pt idx="9">
                  <c:v>0.25979999999999998</c:v>
                </c:pt>
                <c:pt idx="10">
                  <c:v>0.3795</c:v>
                </c:pt>
                <c:pt idx="11">
                  <c:v>0.32850000000000001</c:v>
                </c:pt>
                <c:pt idx="12">
                  <c:v>0.21060000000000001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C4-489F-B2BE-700A22934DB0}"/>
            </c:ext>
          </c:extLst>
        </c:ser>
        <c:ser>
          <c:idx val="2"/>
          <c:order val="2"/>
          <c:tx>
            <c:strRef>
              <c:f>'Cleaned Data'!$CZ$4</c:f>
              <c:strCache>
                <c:ptCount val="1"/>
                <c:pt idx="0">
                  <c:v>$50,000 - $99,999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Data'!$CZ$5:$CZ$17</c:f>
              <c:numCache>
                <c:formatCode>0.00%</c:formatCode>
                <c:ptCount val="13"/>
                <c:pt idx="0">
                  <c:v>0.25979999999999998</c:v>
                </c:pt>
                <c:pt idx="1">
                  <c:v>0.29759999999999998</c:v>
                </c:pt>
                <c:pt idx="2">
                  <c:v>0.30690000000000001</c:v>
                </c:pt>
                <c:pt idx="3">
                  <c:v>0.3165</c:v>
                </c:pt>
                <c:pt idx="4">
                  <c:v>0.25919999999999999</c:v>
                </c:pt>
                <c:pt idx="5">
                  <c:v>0.17829999999999999</c:v>
                </c:pt>
                <c:pt idx="6">
                  <c:v>0.23419999999999999</c:v>
                </c:pt>
                <c:pt idx="7">
                  <c:v>0.31619999999999998</c:v>
                </c:pt>
                <c:pt idx="8">
                  <c:v>0.30049999999999999</c:v>
                </c:pt>
                <c:pt idx="9">
                  <c:v>0.26340000000000002</c:v>
                </c:pt>
                <c:pt idx="10">
                  <c:v>0.31730000000000003</c:v>
                </c:pt>
                <c:pt idx="11">
                  <c:v>0.27460000000000001</c:v>
                </c:pt>
                <c:pt idx="12">
                  <c:v>0.33660000000000001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C4-489F-B2BE-700A22934DB0}"/>
            </c:ext>
          </c:extLst>
        </c:ser>
        <c:ser>
          <c:idx val="3"/>
          <c:order val="3"/>
          <c:tx>
            <c:strRef>
              <c:f>'Cleaned Data'!$DA$4</c:f>
              <c:strCache>
                <c:ptCount val="1"/>
                <c:pt idx="0">
                  <c:v>$100,000 - $199,999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Data'!$DA$5:$DA$17</c:f>
              <c:numCache>
                <c:formatCode>0.00%</c:formatCode>
                <c:ptCount val="13"/>
                <c:pt idx="0">
                  <c:v>0.19989999999999999</c:v>
                </c:pt>
                <c:pt idx="1">
                  <c:v>0.32850000000000001</c:v>
                </c:pt>
                <c:pt idx="2">
                  <c:v>0.14230000000000001</c:v>
                </c:pt>
                <c:pt idx="3">
                  <c:v>0.19009999999999999</c:v>
                </c:pt>
                <c:pt idx="4">
                  <c:v>0.19239999999999999</c:v>
                </c:pt>
                <c:pt idx="5">
                  <c:v>0.13320000000000001</c:v>
                </c:pt>
                <c:pt idx="6">
                  <c:v>0.23380000000000001</c:v>
                </c:pt>
                <c:pt idx="7">
                  <c:v>0.2019</c:v>
                </c:pt>
                <c:pt idx="8">
                  <c:v>0.1585</c:v>
                </c:pt>
                <c:pt idx="9">
                  <c:v>0.1963</c:v>
                </c:pt>
                <c:pt idx="10">
                  <c:v>9.9500000000000005E-2</c:v>
                </c:pt>
                <c:pt idx="11">
                  <c:v>0.12959999999999999</c:v>
                </c:pt>
                <c:pt idx="12">
                  <c:v>0.17460000000000001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C4-489F-B2BE-700A22934DB0}"/>
            </c:ext>
          </c:extLst>
        </c:ser>
        <c:ser>
          <c:idx val="4"/>
          <c:order val="4"/>
          <c:tx>
            <c:strRef>
              <c:f>'Cleaned Data'!$DB$4</c:f>
              <c:strCache>
                <c:ptCount val="1"/>
                <c:pt idx="0">
                  <c:v>$200,000+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Data'!$DB$5:$DB$17</c:f>
              <c:numCache>
                <c:formatCode>0.00%</c:formatCode>
                <c:ptCount val="13"/>
                <c:pt idx="0">
                  <c:v>4.5100000000000001E-2</c:v>
                </c:pt>
                <c:pt idx="1">
                  <c:v>0.13550000000000001</c:v>
                </c:pt>
                <c:pt idx="2">
                  <c:v>2.2499999999999999E-2</c:v>
                </c:pt>
                <c:pt idx="3">
                  <c:v>4.8500000000000001E-2</c:v>
                </c:pt>
                <c:pt idx="4">
                  <c:v>2.0899999999999998E-2</c:v>
                </c:pt>
                <c:pt idx="5">
                  <c:v>2.0999999999999999E-3</c:v>
                </c:pt>
                <c:pt idx="6">
                  <c:v>3.78E-2</c:v>
                </c:pt>
                <c:pt idx="7">
                  <c:v>3.0599999999999999E-2</c:v>
                </c:pt>
                <c:pt idx="8">
                  <c:v>4.5199999999999997E-2</c:v>
                </c:pt>
                <c:pt idx="9">
                  <c:v>0.04</c:v>
                </c:pt>
                <c:pt idx="10">
                  <c:v>1.09E-2</c:v>
                </c:pt>
                <c:pt idx="11">
                  <c:v>2.1100000000000001E-2</c:v>
                </c:pt>
                <c:pt idx="12">
                  <c:v>2.01E-2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C4-489F-B2BE-700A22934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8559808"/>
        <c:axId val="1378558848"/>
      </c:barChart>
      <c:catAx>
        <c:axId val="137855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558848"/>
        <c:crosses val="autoZero"/>
        <c:auto val="1"/>
        <c:lblAlgn val="ctr"/>
        <c:lblOffset val="100"/>
        <c:noMultiLvlLbl val="0"/>
      </c:catAx>
      <c:valAx>
        <c:axId val="1378558848"/>
        <c:scaling>
          <c:orientation val="minMax"/>
          <c:max val="0.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55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Population by Age Group, by County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2018 - 2022</a:t>
            </a:r>
          </a:p>
          <a:p>
            <a:pPr>
              <a:defRPr/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RHIC 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'Cleaned Data'!$BY$4</c:f>
              <c:strCache>
                <c:ptCount val="1"/>
                <c:pt idx="0">
                  <c:v>Age 0-4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Data'!$BY$5:$BY$17</c:f>
              <c:numCache>
                <c:formatCode>#,##0</c:formatCode>
                <c:ptCount val="13"/>
                <c:pt idx="0" formatCode="General">
                  <c:v>1484</c:v>
                </c:pt>
                <c:pt idx="1">
                  <c:v>9500</c:v>
                </c:pt>
                <c:pt idx="2">
                  <c:v>1585</c:v>
                </c:pt>
                <c:pt idx="3" formatCode="General">
                  <c:v>141</c:v>
                </c:pt>
                <c:pt idx="4" formatCode="General">
                  <c:v>921</c:v>
                </c:pt>
                <c:pt idx="5" formatCode="General">
                  <c:v>266</c:v>
                </c:pt>
                <c:pt idx="6" formatCode="General">
                  <c:v>315</c:v>
                </c:pt>
                <c:pt idx="7">
                  <c:v>1358</c:v>
                </c:pt>
                <c:pt idx="8">
                  <c:v>13503</c:v>
                </c:pt>
                <c:pt idx="9" formatCode="General">
                  <c:v>763</c:v>
                </c:pt>
                <c:pt idx="10" formatCode="General">
                  <c:v>67</c:v>
                </c:pt>
                <c:pt idx="11" formatCode="General">
                  <c:v>277</c:v>
                </c:pt>
                <c:pt idx="12" formatCode="General">
                  <c:v>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5-4D96-BC7D-EACCE681A259}"/>
            </c:ext>
          </c:extLst>
        </c:ser>
        <c:ser>
          <c:idx val="1"/>
          <c:order val="1"/>
          <c:tx>
            <c:strRef>
              <c:f>'Cleaned Data'!$BZ$4</c:f>
              <c:strCache>
                <c:ptCount val="1"/>
                <c:pt idx="0">
                  <c:v>Age 5-17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Data'!$BZ$5:$BZ$17</c:f>
              <c:numCache>
                <c:formatCode>#,##0</c:formatCode>
                <c:ptCount val="13"/>
                <c:pt idx="0" formatCode="General">
                  <c:v>4607</c:v>
                </c:pt>
                <c:pt idx="1">
                  <c:v>29755</c:v>
                </c:pt>
                <c:pt idx="2">
                  <c:v>4132</c:v>
                </c:pt>
                <c:pt idx="3" formatCode="General">
                  <c:v>481</c:v>
                </c:pt>
                <c:pt idx="4">
                  <c:v>2709</c:v>
                </c:pt>
                <c:pt idx="5">
                  <c:v>1357</c:v>
                </c:pt>
                <c:pt idx="6">
                  <c:v>1176</c:v>
                </c:pt>
                <c:pt idx="7">
                  <c:v>4044</c:v>
                </c:pt>
                <c:pt idx="8">
                  <c:v>33728</c:v>
                </c:pt>
                <c:pt idx="9">
                  <c:v>2123</c:v>
                </c:pt>
                <c:pt idx="10" formatCode="General">
                  <c:v>172</c:v>
                </c:pt>
                <c:pt idx="11" formatCode="General">
                  <c:v>780</c:v>
                </c:pt>
                <c:pt idx="12">
                  <c:v>1462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95-4D96-BC7D-EACCE681A259}"/>
            </c:ext>
          </c:extLst>
        </c:ser>
        <c:ser>
          <c:idx val="2"/>
          <c:order val="2"/>
          <c:tx>
            <c:strRef>
              <c:f>'Cleaned Data'!$CA$4</c:f>
              <c:strCache>
                <c:ptCount val="1"/>
                <c:pt idx="0">
                  <c:v>Age 18-24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Data'!$CA$5:$CA$17</c:f>
              <c:numCache>
                <c:formatCode>#,##0</c:formatCode>
                <c:ptCount val="13"/>
                <c:pt idx="0" formatCode="General">
                  <c:v>2662</c:v>
                </c:pt>
                <c:pt idx="1">
                  <c:v>12875</c:v>
                </c:pt>
                <c:pt idx="2">
                  <c:v>1917</c:v>
                </c:pt>
                <c:pt idx="3" formatCode="General">
                  <c:v>294</c:v>
                </c:pt>
                <c:pt idx="4">
                  <c:v>1411</c:v>
                </c:pt>
                <c:pt idx="5" formatCode="General">
                  <c:v>474</c:v>
                </c:pt>
                <c:pt idx="6" formatCode="General">
                  <c:v>540</c:v>
                </c:pt>
                <c:pt idx="7">
                  <c:v>1608</c:v>
                </c:pt>
                <c:pt idx="8">
                  <c:v>23345</c:v>
                </c:pt>
                <c:pt idx="9" formatCode="General">
                  <c:v>890</c:v>
                </c:pt>
                <c:pt idx="10" formatCode="General">
                  <c:v>96</c:v>
                </c:pt>
                <c:pt idx="11" formatCode="General">
                  <c:v>448</c:v>
                </c:pt>
                <c:pt idx="12" formatCode="General">
                  <c:v>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95-4D96-BC7D-EACCE681A259}"/>
            </c:ext>
          </c:extLst>
        </c:ser>
        <c:ser>
          <c:idx val="3"/>
          <c:order val="3"/>
          <c:tx>
            <c:strRef>
              <c:f>'Cleaned Data'!$CB$4</c:f>
              <c:strCache>
                <c:ptCount val="1"/>
                <c:pt idx="0">
                  <c:v>Age 25-34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Data'!$CB$5:$CB$17</c:f>
              <c:numCache>
                <c:formatCode>#,##0</c:formatCode>
                <c:ptCount val="13"/>
                <c:pt idx="0" formatCode="General">
                  <c:v>2191</c:v>
                </c:pt>
                <c:pt idx="1">
                  <c:v>21030</c:v>
                </c:pt>
                <c:pt idx="2">
                  <c:v>3249</c:v>
                </c:pt>
                <c:pt idx="3" formatCode="General">
                  <c:v>262</c:v>
                </c:pt>
                <c:pt idx="4">
                  <c:v>1778</c:v>
                </c:pt>
                <c:pt idx="5" formatCode="General">
                  <c:v>910</c:v>
                </c:pt>
                <c:pt idx="6" formatCode="General">
                  <c:v>654</c:v>
                </c:pt>
                <c:pt idx="7">
                  <c:v>2770</c:v>
                </c:pt>
                <c:pt idx="8">
                  <c:v>32995</c:v>
                </c:pt>
                <c:pt idx="9">
                  <c:v>1766</c:v>
                </c:pt>
                <c:pt idx="10" formatCode="General">
                  <c:v>243</c:v>
                </c:pt>
                <c:pt idx="11" formatCode="General">
                  <c:v>502</c:v>
                </c:pt>
                <c:pt idx="12">
                  <c:v>1153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95-4D96-BC7D-EACCE681A259}"/>
            </c:ext>
          </c:extLst>
        </c:ser>
        <c:ser>
          <c:idx val="4"/>
          <c:order val="4"/>
          <c:tx>
            <c:strRef>
              <c:f>'Cleaned Data'!$CC$4</c:f>
              <c:strCache>
                <c:ptCount val="1"/>
                <c:pt idx="0">
                  <c:v>Age 35-44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Data'!$CC$5:$CC$17</c:f>
              <c:numCache>
                <c:formatCode>#,##0</c:formatCode>
                <c:ptCount val="13"/>
                <c:pt idx="0" formatCode="General">
                  <c:v>3070</c:v>
                </c:pt>
                <c:pt idx="1">
                  <c:v>22631</c:v>
                </c:pt>
                <c:pt idx="2">
                  <c:v>2881</c:v>
                </c:pt>
                <c:pt idx="3" formatCode="General">
                  <c:v>392</c:v>
                </c:pt>
                <c:pt idx="4">
                  <c:v>1987</c:v>
                </c:pt>
                <c:pt idx="5">
                  <c:v>1379</c:v>
                </c:pt>
                <c:pt idx="6" formatCode="General">
                  <c:v>953</c:v>
                </c:pt>
                <c:pt idx="7">
                  <c:v>2500</c:v>
                </c:pt>
                <c:pt idx="8">
                  <c:v>24866</c:v>
                </c:pt>
                <c:pt idx="9">
                  <c:v>1845</c:v>
                </c:pt>
                <c:pt idx="10" formatCode="General">
                  <c:v>206</c:v>
                </c:pt>
                <c:pt idx="11" formatCode="General">
                  <c:v>579</c:v>
                </c:pt>
                <c:pt idx="12">
                  <c:v>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95-4D96-BC7D-EACCE681A259}"/>
            </c:ext>
          </c:extLst>
        </c:ser>
        <c:ser>
          <c:idx val="5"/>
          <c:order val="5"/>
          <c:tx>
            <c:strRef>
              <c:f>'Cleaned Data'!$CD$4</c:f>
              <c:strCache>
                <c:ptCount val="1"/>
                <c:pt idx="0">
                  <c:v>Age 45-54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Data'!$CD$5:$CD$17</c:f>
              <c:numCache>
                <c:formatCode>#,##0</c:formatCode>
                <c:ptCount val="13"/>
                <c:pt idx="0" formatCode="General">
                  <c:v>2947</c:v>
                </c:pt>
                <c:pt idx="1">
                  <c:v>19907</c:v>
                </c:pt>
                <c:pt idx="2">
                  <c:v>2571</c:v>
                </c:pt>
                <c:pt idx="3" formatCode="General">
                  <c:v>424</c:v>
                </c:pt>
                <c:pt idx="4">
                  <c:v>1786</c:v>
                </c:pt>
                <c:pt idx="5" formatCode="General">
                  <c:v>915</c:v>
                </c:pt>
                <c:pt idx="6" formatCode="General">
                  <c:v>910</c:v>
                </c:pt>
                <c:pt idx="7">
                  <c:v>2534</c:v>
                </c:pt>
                <c:pt idx="8">
                  <c:v>22088</c:v>
                </c:pt>
                <c:pt idx="9">
                  <c:v>1687</c:v>
                </c:pt>
                <c:pt idx="10" formatCode="General">
                  <c:v>208</c:v>
                </c:pt>
                <c:pt idx="11" formatCode="General">
                  <c:v>619</c:v>
                </c:pt>
                <c:pt idx="12">
                  <c:v>1145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95-4D96-BC7D-EACCE681A259}"/>
            </c:ext>
          </c:extLst>
        </c:ser>
        <c:ser>
          <c:idx val="6"/>
          <c:order val="6"/>
          <c:tx>
            <c:strRef>
              <c:f>'Cleaned Data'!$CE$4</c:f>
              <c:strCache>
                <c:ptCount val="1"/>
                <c:pt idx="0">
                  <c:v>Age 55-64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Data'!$CE$5:$CE$17</c:f>
              <c:numCache>
                <c:formatCode>#,##0</c:formatCode>
                <c:ptCount val="13"/>
                <c:pt idx="0" formatCode="General">
                  <c:v>3409</c:v>
                </c:pt>
                <c:pt idx="1">
                  <c:v>18281</c:v>
                </c:pt>
                <c:pt idx="2">
                  <c:v>2907</c:v>
                </c:pt>
                <c:pt idx="3" formatCode="General">
                  <c:v>416</c:v>
                </c:pt>
                <c:pt idx="4">
                  <c:v>2123</c:v>
                </c:pt>
                <c:pt idx="5">
                  <c:v>1552</c:v>
                </c:pt>
                <c:pt idx="6">
                  <c:v>1265</c:v>
                </c:pt>
                <c:pt idx="7">
                  <c:v>3008</c:v>
                </c:pt>
                <c:pt idx="8">
                  <c:v>25637</c:v>
                </c:pt>
                <c:pt idx="9">
                  <c:v>2168</c:v>
                </c:pt>
                <c:pt idx="10" formatCode="General">
                  <c:v>186</c:v>
                </c:pt>
                <c:pt idx="11" formatCode="General">
                  <c:v>814</c:v>
                </c:pt>
                <c:pt idx="12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95-4D96-BC7D-EACCE681A259}"/>
            </c:ext>
          </c:extLst>
        </c:ser>
        <c:ser>
          <c:idx val="7"/>
          <c:order val="7"/>
          <c:tx>
            <c:strRef>
              <c:f>'Cleaned Data'!$CF$4</c:f>
              <c:strCache>
                <c:ptCount val="1"/>
                <c:pt idx="0">
                  <c:v>Age 65+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Data'!$CF$5:$CF$17</c:f>
              <c:numCache>
                <c:formatCode>#,##0</c:formatCode>
                <c:ptCount val="13"/>
                <c:pt idx="0" formatCode="General">
                  <c:v>3967</c:v>
                </c:pt>
                <c:pt idx="1">
                  <c:v>22942</c:v>
                </c:pt>
                <c:pt idx="2">
                  <c:v>3665</c:v>
                </c:pt>
                <c:pt idx="3" formatCode="General">
                  <c:v>493</c:v>
                </c:pt>
                <c:pt idx="4">
                  <c:v>2876</c:v>
                </c:pt>
                <c:pt idx="5">
                  <c:v>1851</c:v>
                </c:pt>
                <c:pt idx="6">
                  <c:v>1913</c:v>
                </c:pt>
                <c:pt idx="7">
                  <c:v>3893</c:v>
                </c:pt>
                <c:pt idx="8">
                  <c:v>29991</c:v>
                </c:pt>
                <c:pt idx="9">
                  <c:v>2784</c:v>
                </c:pt>
                <c:pt idx="10" formatCode="General">
                  <c:v>457</c:v>
                </c:pt>
                <c:pt idx="11">
                  <c:v>1178</c:v>
                </c:pt>
                <c:pt idx="12">
                  <c:v>2246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95-4D96-BC7D-EACCE681A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9635680"/>
        <c:axId val="1379642400"/>
      </c:barChart>
      <c:catAx>
        <c:axId val="137963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642400"/>
        <c:crosses val="autoZero"/>
        <c:auto val="1"/>
        <c:lblAlgn val="ctr"/>
        <c:lblOffset val="100"/>
        <c:noMultiLvlLbl val="0"/>
      </c:catAx>
      <c:valAx>
        <c:axId val="137964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63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Racial Demographics, by County 2018 - 2022 </a:t>
            </a:r>
          </a:p>
          <a:p>
            <a:pPr>
              <a:defRPr/>
            </a:pPr>
            <a:r>
              <a:rPr lang="en-US"/>
              <a:t>RHIC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'Cleaned Data'!$CG$4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Data'!$CG$5:$CG$17</c:f>
              <c:numCache>
                <c:formatCode>#,##0</c:formatCode>
                <c:ptCount val="13"/>
                <c:pt idx="0">
                  <c:v>12127</c:v>
                </c:pt>
                <c:pt idx="1">
                  <c:v>108715</c:v>
                </c:pt>
                <c:pt idx="2">
                  <c:v>13861</c:v>
                </c:pt>
                <c:pt idx="3">
                  <c:v>2565</c:v>
                </c:pt>
                <c:pt idx="4">
                  <c:v>6737</c:v>
                </c:pt>
                <c:pt idx="5">
                  <c:v>4985</c:v>
                </c:pt>
                <c:pt idx="6">
                  <c:v>5302</c:v>
                </c:pt>
                <c:pt idx="7">
                  <c:v>11864</c:v>
                </c:pt>
                <c:pt idx="8">
                  <c:v>71015</c:v>
                </c:pt>
                <c:pt idx="9">
                  <c:v>7938</c:v>
                </c:pt>
                <c:pt idx="10" formatCode="General">
                  <c:v>599</c:v>
                </c:pt>
                <c:pt idx="11">
                  <c:v>1995</c:v>
                </c:pt>
                <c:pt idx="12">
                  <c:v>5126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65-437E-B31E-6D8255EEA52D}"/>
            </c:ext>
          </c:extLst>
        </c:ser>
        <c:ser>
          <c:idx val="1"/>
          <c:order val="1"/>
          <c:tx>
            <c:strRef>
              <c:f>'Cleaned Data'!$CH$4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Data'!$CH$5:$CH$17</c:f>
              <c:numCache>
                <c:formatCode>#,##0</c:formatCode>
                <c:ptCount val="13"/>
                <c:pt idx="0">
                  <c:v>11095</c:v>
                </c:pt>
                <c:pt idx="1">
                  <c:v>26560</c:v>
                </c:pt>
                <c:pt idx="2">
                  <c:v>7345</c:v>
                </c:pt>
                <c:pt idx="3" formatCode="General">
                  <c:v>307</c:v>
                </c:pt>
                <c:pt idx="4">
                  <c:v>8138</c:v>
                </c:pt>
                <c:pt idx="5">
                  <c:v>3036</c:v>
                </c:pt>
                <c:pt idx="6">
                  <c:v>2175</c:v>
                </c:pt>
                <c:pt idx="7">
                  <c:v>8938</c:v>
                </c:pt>
                <c:pt idx="8">
                  <c:v>115235</c:v>
                </c:pt>
                <c:pt idx="9">
                  <c:v>5629</c:v>
                </c:pt>
                <c:pt idx="10" formatCode="General">
                  <c:v>822</c:v>
                </c:pt>
                <c:pt idx="11">
                  <c:v>3104</c:v>
                </c:pt>
                <c:pt idx="12">
                  <c:v>3869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65-437E-B31E-6D8255EEA52D}"/>
            </c:ext>
          </c:extLst>
        </c:ser>
        <c:ser>
          <c:idx val="2"/>
          <c:order val="2"/>
          <c:tx>
            <c:strRef>
              <c:f>'Cleaned Data'!$CI$4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Data'!$CI$5:$CI$17</c:f>
              <c:numCache>
                <c:formatCode>#,##0</c:formatCode>
                <c:ptCount val="13"/>
                <c:pt idx="0" formatCode="General">
                  <c:v>122</c:v>
                </c:pt>
                <c:pt idx="1">
                  <c:v>6850</c:v>
                </c:pt>
                <c:pt idx="2" formatCode="General">
                  <c:v>47</c:v>
                </c:pt>
                <c:pt idx="3" formatCode="General">
                  <c:v>0</c:v>
                </c:pt>
                <c:pt idx="4" formatCode="General">
                  <c:v>68</c:v>
                </c:pt>
                <c:pt idx="5" formatCode="General">
                  <c:v>2</c:v>
                </c:pt>
                <c:pt idx="6" formatCode="General">
                  <c:v>6</c:v>
                </c:pt>
                <c:pt idx="7" formatCode="General">
                  <c:v>34</c:v>
                </c:pt>
                <c:pt idx="8">
                  <c:v>3659</c:v>
                </c:pt>
                <c:pt idx="9" formatCode="General">
                  <c:v>56</c:v>
                </c:pt>
                <c:pt idx="10" formatCode="General">
                  <c:v>1</c:v>
                </c:pt>
                <c:pt idx="11" formatCode="General">
                  <c:v>24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65-437E-B31E-6D8255EEA52D}"/>
            </c:ext>
          </c:extLst>
        </c:ser>
        <c:ser>
          <c:idx val="3"/>
          <c:order val="3"/>
          <c:tx>
            <c:strRef>
              <c:f>'Cleaned Data'!$CJ$4</c:f>
              <c:strCache>
                <c:ptCount val="1"/>
                <c:pt idx="0">
                  <c:v>American Indian / Alaska Native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Data'!$CJ$5:$CJ$17</c:f>
              <c:numCache>
                <c:formatCode>General</c:formatCode>
                <c:ptCount val="13"/>
                <c:pt idx="0">
                  <c:v>0</c:v>
                </c:pt>
                <c:pt idx="1">
                  <c:v>375</c:v>
                </c:pt>
                <c:pt idx="2">
                  <c:v>84</c:v>
                </c:pt>
                <c:pt idx="3">
                  <c:v>0</c:v>
                </c:pt>
                <c:pt idx="4">
                  <c:v>9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252</c:v>
                </c:pt>
                <c:pt idx="9">
                  <c:v>12</c:v>
                </c:pt>
                <c:pt idx="10">
                  <c:v>0</c:v>
                </c:pt>
                <c:pt idx="11">
                  <c:v>0</c:v>
                </c:pt>
                <c:pt idx="1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65-437E-B31E-6D8255EEA52D}"/>
            </c:ext>
          </c:extLst>
        </c:ser>
        <c:ser>
          <c:idx val="4"/>
          <c:order val="4"/>
          <c:tx>
            <c:strRef>
              <c:f>'Cleaned Data'!$CK$4</c:f>
              <c:strCache>
                <c:ptCount val="1"/>
                <c:pt idx="0">
                  <c:v>Native Hawaiian / Pacific Islander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Data'!$CK$5:$CK$17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148</c:v>
                </c:pt>
                <c:pt idx="9">
                  <c:v>0</c:v>
                </c:pt>
                <c:pt idx="10">
                  <c:v>4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65-437E-B31E-6D8255EEA52D}"/>
            </c:ext>
          </c:extLst>
        </c:ser>
        <c:ser>
          <c:idx val="5"/>
          <c:order val="5"/>
          <c:tx>
            <c:strRef>
              <c:f>'Cleaned Data'!$CL$4</c:f>
              <c:strCache>
                <c:ptCount val="1"/>
                <c:pt idx="0">
                  <c:v>Some Other Race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Data'!$CL$5:$CL$17</c:f>
              <c:numCache>
                <c:formatCode>#,##0</c:formatCode>
                <c:ptCount val="13"/>
                <c:pt idx="0" formatCode="General">
                  <c:v>323</c:v>
                </c:pt>
                <c:pt idx="1">
                  <c:v>4017</c:v>
                </c:pt>
                <c:pt idx="2" formatCode="General">
                  <c:v>350</c:v>
                </c:pt>
                <c:pt idx="3" formatCode="General">
                  <c:v>0</c:v>
                </c:pt>
                <c:pt idx="4" formatCode="General">
                  <c:v>403</c:v>
                </c:pt>
                <c:pt idx="5" formatCode="General">
                  <c:v>299</c:v>
                </c:pt>
                <c:pt idx="6" formatCode="General">
                  <c:v>85</c:v>
                </c:pt>
                <c:pt idx="7" formatCode="General">
                  <c:v>274</c:v>
                </c:pt>
                <c:pt idx="8">
                  <c:v>3907</c:v>
                </c:pt>
                <c:pt idx="9" formatCode="General">
                  <c:v>39</c:v>
                </c:pt>
                <c:pt idx="10" formatCode="General">
                  <c:v>117</c:v>
                </c:pt>
                <c:pt idx="11" formatCode="General">
                  <c:v>0</c:v>
                </c:pt>
                <c:pt idx="12" formatCode="General">
                  <c:v>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65-437E-B31E-6D8255EEA52D}"/>
            </c:ext>
          </c:extLst>
        </c:ser>
        <c:ser>
          <c:idx val="6"/>
          <c:order val="6"/>
          <c:tx>
            <c:strRef>
              <c:f>'Cleaned Data'!$CM$4</c:f>
              <c:strCache>
                <c:ptCount val="1"/>
                <c:pt idx="0">
                  <c:v>Multiple Races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Data'!$CM$5:$CM$17</c:f>
              <c:numCache>
                <c:formatCode>#,##0</c:formatCode>
                <c:ptCount val="13"/>
                <c:pt idx="0" formatCode="General">
                  <c:v>670</c:v>
                </c:pt>
                <c:pt idx="1">
                  <c:v>10399</c:v>
                </c:pt>
                <c:pt idx="2">
                  <c:v>1220</c:v>
                </c:pt>
                <c:pt idx="3" formatCode="General">
                  <c:v>29</c:v>
                </c:pt>
                <c:pt idx="4" formatCode="General">
                  <c:v>236</c:v>
                </c:pt>
                <c:pt idx="5" formatCode="General">
                  <c:v>380</c:v>
                </c:pt>
                <c:pt idx="6" formatCode="General">
                  <c:v>158</c:v>
                </c:pt>
                <c:pt idx="7" formatCode="General">
                  <c:v>605</c:v>
                </c:pt>
                <c:pt idx="8">
                  <c:v>11937</c:v>
                </c:pt>
                <c:pt idx="9" formatCode="General">
                  <c:v>352</c:v>
                </c:pt>
                <c:pt idx="10" formatCode="General">
                  <c:v>92</c:v>
                </c:pt>
                <c:pt idx="11" formatCode="General">
                  <c:v>74</c:v>
                </c:pt>
                <c:pt idx="12" formatCode="General">
                  <c:v>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65-437E-B31E-6D8255EEA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5079888"/>
        <c:axId val="1235083728"/>
      </c:barChart>
      <c:catAx>
        <c:axId val="1235079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083728"/>
        <c:crosses val="autoZero"/>
        <c:auto val="1"/>
        <c:lblAlgn val="ctr"/>
        <c:lblOffset val="100"/>
        <c:noMultiLvlLbl val="0"/>
      </c:catAx>
      <c:valAx>
        <c:axId val="1235083728"/>
        <c:scaling>
          <c:orientation val="minMax"/>
          <c:max val="12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07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Current Smokers, by County,</a:t>
            </a:r>
            <a:r>
              <a:rPr lang="en-US" baseline="0"/>
              <a:t> </a:t>
            </a:r>
            <a:r>
              <a:rPr lang="en-US"/>
              <a:t>2018 - 2022</a:t>
            </a:r>
          </a:p>
          <a:p>
            <a:pPr>
              <a:defRPr/>
            </a:pPr>
            <a:r>
              <a:rPr lang="en-US"/>
              <a:t> </a:t>
            </a:r>
            <a:r>
              <a:rPr lang="en-US" sz="1050"/>
              <a:t>RHIC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'Raw Data'!$Y$4</c:f>
              <c:strCache>
                <c:ptCount val="1"/>
                <c:pt idx="0">
                  <c:v>Current Smokers, Percent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171-4AC0-86F7-31A7FF40C3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71-4AC0-86F7-31A7FF40C3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171-4AC0-86F7-31A7FF40C3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171-4AC0-86F7-31A7FF40C3E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171-4AC0-86F7-31A7FF40C3E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171-4AC0-86F7-31A7FF40C3E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171-4AC0-86F7-31A7FF40C3E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171-4AC0-86F7-31A7FF40C3E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171-4AC0-86F7-31A7FF40C3E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171-4AC0-86F7-31A7FF40C3E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E171-4AC0-86F7-31A7FF40C3E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E171-4AC0-86F7-31A7FF40C3E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E171-4AC0-86F7-31A7FF40C3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'Raw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'Raw Data'!$Y$5:$Y$17</c:f>
              <c:numCache>
                <c:formatCode>0.00%</c:formatCode>
                <c:ptCount val="13"/>
                <c:pt idx="0">
                  <c:v>0.19800000000000001</c:v>
                </c:pt>
                <c:pt idx="1">
                  <c:v>0.129</c:v>
                </c:pt>
                <c:pt idx="2">
                  <c:v>0.23599999999999999</c:v>
                </c:pt>
                <c:pt idx="3">
                  <c:v>0.20799999999999999</c:v>
                </c:pt>
                <c:pt idx="4">
                  <c:v>0.22500000000000001</c:v>
                </c:pt>
                <c:pt idx="5">
                  <c:v>0.25600000000000001</c:v>
                </c:pt>
                <c:pt idx="6">
                  <c:v>0.214</c:v>
                </c:pt>
                <c:pt idx="7">
                  <c:v>0.20799999999999999</c:v>
                </c:pt>
                <c:pt idx="8">
                  <c:v>0.19600000000000001</c:v>
                </c:pt>
                <c:pt idx="9">
                  <c:v>0.19900000000000001</c:v>
                </c:pt>
                <c:pt idx="10">
                  <c:v>0.222</c:v>
                </c:pt>
                <c:pt idx="11">
                  <c:v>0.23799999999999999</c:v>
                </c:pt>
                <c:pt idx="12">
                  <c:v>0.217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12-4AF8-8C65-2486DF138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STD Rate Per 100,000 pop. by County 2018     -    2023 Oasis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49806251758498"/>
          <c:y val="0.20608255859278959"/>
          <c:w val="0.86355740900146993"/>
          <c:h val="0.554061090662309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'Cleaned Data'!$AJ$4</c:f>
              <c:strCache>
                <c:ptCount val="1"/>
                <c:pt idx="0">
                  <c:v>STD Rate Per 100,000 Pop.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3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D7FF-414A-AF8F-052FC30D5CF3}"/>
              </c:ext>
            </c:extLst>
          </c:dPt>
          <c:cat>
            <c:strRef>
              <c:f>('Cleaned Data'!$A$5,'Cleaned Data'!$A$6,'Cleaned Data'!$A$7,'Cleaned Data'!$A$8,'Cleaned Data'!$A$9,'Cleaned Data'!$A$10,'Cleaned Data'!$A$11,'Cleaned Data'!$A$12,'Cleaned Data'!$A$13,'Cleaned Data'!$A$14,'Cleaned Data'!$A$15,'Cleaned Data'!$A$16,'Cleaned Data'!$A$17,'Cleaned Data'!$A$18)</c:f>
              <c:strCache>
                <c:ptCount val="14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  <c:pt idx="13">
                  <c:v>Georgia (State)</c:v>
                </c:pt>
              </c:strCache>
            </c:strRef>
          </c:cat>
          <c:val>
            <c:numRef>
              <c:f>('Cleaned Data'!$AJ$5,'Cleaned Data'!$AJ$6,'Cleaned Data'!$AJ$7,'Cleaned Data'!$AJ$8,'Cleaned Data'!$AJ$9,'Cleaned Data'!$AJ$10,'Cleaned Data'!$AJ$11,'Cleaned Data'!$AJ$12,'Cleaned Data'!$AJ$13,'Cleaned Data'!$AJ$14,'Cleaned Data'!$AJ$15,'Cleaned Data'!$AJ$16,'Cleaned Data'!$AJ$17,'Cleaned Data'!$AJ$18)</c:f>
              <c:numCache>
                <c:formatCode>General</c:formatCode>
                <c:ptCount val="14"/>
                <c:pt idx="0" formatCode="#,##0.00">
                  <c:v>1052.7</c:v>
                </c:pt>
                <c:pt idx="1">
                  <c:v>429.5</c:v>
                </c:pt>
                <c:pt idx="2" formatCode="#,##0.00">
                  <c:v>1130.9000000000001</c:v>
                </c:pt>
                <c:pt idx="3">
                  <c:v>304</c:v>
                </c:pt>
                <c:pt idx="4" formatCode="#,##0.00">
                  <c:v>1057.8</c:v>
                </c:pt>
                <c:pt idx="5">
                  <c:v>618.5</c:v>
                </c:pt>
                <c:pt idx="6">
                  <c:v>441.5</c:v>
                </c:pt>
                <c:pt idx="7" formatCode="#,##0.00">
                  <c:v>1154.5</c:v>
                </c:pt>
                <c:pt idx="8" formatCode="#,##0.00">
                  <c:v>1806.1</c:v>
                </c:pt>
                <c:pt idx="9">
                  <c:v>879.2</c:v>
                </c:pt>
                <c:pt idx="10" formatCode="#,##0.00">
                  <c:v>728.3</c:v>
                </c:pt>
                <c:pt idx="11" formatCode="#,##0.00">
                  <c:v>1110.8</c:v>
                </c:pt>
                <c:pt idx="12">
                  <c:v>914.2</c:v>
                </c:pt>
                <c:pt idx="13">
                  <c:v>934.1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7FF-414A-AF8F-052FC30D5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182672"/>
        <c:axId val="494183152"/>
      </c:barChart>
      <c:catAx>
        <c:axId val="49418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183152"/>
        <c:crosses val="autoZero"/>
        <c:auto val="1"/>
        <c:lblAlgn val="ctr"/>
        <c:lblOffset val="100"/>
        <c:noMultiLvlLbl val="0"/>
      </c:catAx>
      <c:valAx>
        <c:axId val="49418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18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Birth Rate per 100,000 pop., by County,</a:t>
            </a:r>
            <a:r>
              <a:rPr lang="en-US" baseline="0"/>
              <a:t> 2018 - 2023</a:t>
            </a:r>
          </a:p>
          <a:p>
            <a:pPr>
              <a:defRPr/>
            </a:pPr>
            <a:r>
              <a:rPr lang="en-US" sz="1100" baseline="0"/>
              <a:t>Oasis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'Cleaned Data'!$V$4</c:f>
              <c:strCache>
                <c:ptCount val="1"/>
                <c:pt idx="0">
                  <c:v>Birth Rate (per 100,000 pop.)</c:v>
                </c:pt>
              </c:strCache>
            </c:strRef>
          </c:tx>
          <c:explosion val="4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55-4760-BD23-43CFC5EDFB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55-4760-BD23-43CFC5EDFB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55-4760-BD23-43CFC5EDFB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255-4760-BD23-43CFC5EDFB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255-4760-BD23-43CFC5EDFB8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255-4760-BD23-43CFC5EDFB8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255-4760-BD23-43CFC5EDFB8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255-4760-BD23-43CFC5EDFB8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255-4760-BD23-43CFC5EDFB8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255-4760-BD23-43CFC5EDFB8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A255-4760-BD23-43CFC5EDFB8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A255-4760-BD23-43CFC5EDFB8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255-4760-BD23-43CFC5EDFB82}"/>
              </c:ext>
            </c:extLst>
          </c:dPt>
          <c:dLbls>
            <c:dLbl>
              <c:idx val="0"/>
              <c:layout>
                <c:manualLayout>
                  <c:x val="-2.4221105508471503E-3"/>
                  <c:y val="-0.11181788652245429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55-4760-BD23-43CFC5EDFB82}"/>
                </c:ext>
              </c:extLst>
            </c:dLbl>
            <c:dLbl>
              <c:idx val="1"/>
              <c:layout>
                <c:manualLayout>
                  <c:x val="2.6598788032030411E-2"/>
                  <c:y val="-9.971395442616895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55-4760-BD23-43CFC5EDFB82}"/>
                </c:ext>
              </c:extLst>
            </c:dLbl>
            <c:dLbl>
              <c:idx val="2"/>
              <c:layout>
                <c:manualLayout>
                  <c:x val="7.7507537627105882E-2"/>
                  <c:y val="-4.392845541953568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255-4760-BD23-43CFC5EDFB82}"/>
                </c:ext>
              </c:extLst>
            </c:dLbl>
            <c:dLbl>
              <c:idx val="3"/>
              <c:layout>
                <c:manualLayout>
                  <c:x val="8.7202079059160817E-2"/>
                  <c:y val="-3.9934560642441112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255-4760-BD23-43CFC5EDFB82}"/>
                </c:ext>
              </c:extLst>
            </c:dLbl>
            <c:dLbl>
              <c:idx val="4"/>
              <c:layout>
                <c:manualLayout>
                  <c:x val="7.2663316525411845E-2"/>
                  <c:y val="5.990243920845765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255-4760-BD23-43CFC5EDFB82}"/>
                </c:ext>
              </c:extLst>
            </c:dLbl>
            <c:dLbl>
              <c:idx val="5"/>
              <c:layout>
                <c:manualLayout>
                  <c:x val="3.875376881355299E-2"/>
                  <c:y val="7.587642299737970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255-4760-BD23-43CFC5EDFB82}"/>
                </c:ext>
              </c:extLst>
            </c:dLbl>
            <c:dLbl>
              <c:idx val="6"/>
              <c:layout>
                <c:manualLayout>
                  <c:x val="4.8442211016941237E-3"/>
                  <c:y val="9.983739868076275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255-4760-BD23-43CFC5EDFB82}"/>
                </c:ext>
              </c:extLst>
            </c:dLbl>
            <c:dLbl>
              <c:idx val="7"/>
              <c:layout>
                <c:manualLayout>
                  <c:x val="-3.6331658262705971E-2"/>
                  <c:y val="8.785691083907122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255-4760-BD23-43CFC5EDFB82}"/>
                </c:ext>
              </c:extLst>
            </c:dLbl>
            <c:dLbl>
              <c:idx val="8"/>
              <c:layout>
                <c:manualLayout>
                  <c:x val="-7.9929648177953033E-2"/>
                  <c:y val="5.990243920845765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255-4760-BD23-43CFC5EDFB82}"/>
                </c:ext>
              </c:extLst>
            </c:dLbl>
            <c:dLbl>
              <c:idx val="9"/>
              <c:layout>
                <c:manualLayout>
                  <c:x val="-8.2351758728800142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255-4760-BD23-43CFC5EDFB82}"/>
                </c:ext>
              </c:extLst>
            </c:dLbl>
            <c:dLbl>
              <c:idx val="10"/>
              <c:layout>
                <c:manualLayout>
                  <c:x val="-9.9304056682199868E-2"/>
                  <c:y val="-4.784881853150619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255-4760-BD23-43CFC5EDFB82}"/>
                </c:ext>
              </c:extLst>
            </c:dLbl>
            <c:dLbl>
              <c:idx val="11"/>
              <c:layout>
                <c:manualLayout>
                  <c:x val="-5.5708542669482462E-2"/>
                  <c:y val="-7.98699189446101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255-4760-BD23-43CFC5EDFB82}"/>
                </c:ext>
              </c:extLst>
            </c:dLbl>
            <c:dLbl>
              <c:idx val="12"/>
              <c:layout>
                <c:manualLayout>
                  <c:x val="-1.453266330508237E-2"/>
                  <c:y val="-9.185040678630178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255-4760-BD23-43CFC5EDFB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Data'!$V$5:$V$17</c:f>
              <c:numCache>
                <c:formatCode>General</c:formatCode>
                <c:ptCount val="13"/>
                <c:pt idx="0">
                  <c:v>14.1</c:v>
                </c:pt>
                <c:pt idx="1">
                  <c:v>4</c:v>
                </c:pt>
                <c:pt idx="2">
                  <c:v>17.7</c:v>
                </c:pt>
                <c:pt idx="3">
                  <c:v>13.1</c:v>
                </c:pt>
                <c:pt idx="4">
                  <c:v>13.5</c:v>
                </c:pt>
                <c:pt idx="5">
                  <c:v>15.7</c:v>
                </c:pt>
                <c:pt idx="6">
                  <c:v>6.5</c:v>
                </c:pt>
                <c:pt idx="7">
                  <c:v>16.3</c:v>
                </c:pt>
                <c:pt idx="8">
                  <c:v>15.2</c:v>
                </c:pt>
                <c:pt idx="9">
                  <c:v>20.100000000000001</c:v>
                </c:pt>
                <c:pt idx="10">
                  <c:v>0</c:v>
                </c:pt>
                <c:pt idx="11">
                  <c:v>15.3</c:v>
                </c:pt>
                <c:pt idx="12">
                  <c:v>12.6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255-4760-BD23-43CFC5EDFB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Crude Death Rate per 100,000 pop. CHD, 2018 - 2022, RHIC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'Cleaned Data'!$AY$4</c:f>
              <c:strCache>
                <c:ptCount val="1"/>
                <c:pt idx="0">
                  <c:v>Crude Death Rate per 100,000 Pop. CHD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Data'!$A$5:$A$18</c:f>
              <c:strCache>
                <c:ptCount val="14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  <c:pt idx="13">
                  <c:v>Georgia (State)</c:v>
                </c:pt>
              </c:strCache>
            </c:strRef>
          </c:cat>
          <c:val>
            <c:numRef>
              <c:f>'Cleaned Data'!$AY$5:$AY$18</c:f>
              <c:numCache>
                <c:formatCode>General</c:formatCode>
                <c:ptCount val="14"/>
                <c:pt idx="0">
                  <c:v>108.5</c:v>
                </c:pt>
                <c:pt idx="1">
                  <c:v>49.9</c:v>
                </c:pt>
                <c:pt idx="2">
                  <c:v>134</c:v>
                </c:pt>
                <c:pt idx="3">
                  <c:v>135.1</c:v>
                </c:pt>
                <c:pt idx="4">
                  <c:v>132.6</c:v>
                </c:pt>
                <c:pt idx="5">
                  <c:v>71.400000000000006</c:v>
                </c:pt>
                <c:pt idx="6">
                  <c:v>106.4</c:v>
                </c:pt>
                <c:pt idx="7">
                  <c:v>117.4</c:v>
                </c:pt>
                <c:pt idx="8">
                  <c:v>95.8</c:v>
                </c:pt>
                <c:pt idx="9">
                  <c:v>121.4</c:v>
                </c:pt>
                <c:pt idx="10">
                  <c:v>0</c:v>
                </c:pt>
                <c:pt idx="11">
                  <c:v>172.2</c:v>
                </c:pt>
                <c:pt idx="12">
                  <c:v>111.4</c:v>
                </c:pt>
                <c:pt idx="13">
                  <c:v>76.3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D-4F4C-A17E-675C4ABEE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6718160"/>
        <c:axId val="292185936"/>
      </c:barChart>
      <c:catAx>
        <c:axId val="102671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185936"/>
        <c:crosses val="autoZero"/>
        <c:auto val="1"/>
        <c:lblAlgn val="ctr"/>
        <c:lblOffset val="100"/>
        <c:noMultiLvlLbl val="0"/>
      </c:catAx>
      <c:valAx>
        <c:axId val="29218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71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Percentage of Adults with BMI &gt;30.0,</a:t>
            </a:r>
            <a:r>
              <a:rPr lang="en-US" sz="1600" baseline="0"/>
              <a:t> </a:t>
            </a:r>
            <a:r>
              <a:rPr lang="en-US" sz="1600"/>
              <a:t>2018-2022 </a:t>
            </a:r>
          </a:p>
          <a:p>
            <a:pPr>
              <a:defRPr/>
            </a:pPr>
            <a:r>
              <a:rPr lang="en-US" sz="1200"/>
              <a:t>RHIC</a:t>
            </a:r>
          </a:p>
        </c:rich>
      </c:tx>
      <c:layout>
        <c:manualLayout>
          <c:xMode val="edge"/>
          <c:yMode val="edge"/>
          <c:x val="0.12079142251189461"/>
          <c:y val="2.47571233013229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'Cleaned Data'!$AT$5:$AT$17</c:f>
              <c:numCache>
                <c:formatCode>0.00%</c:formatCode>
                <c:ptCount val="13"/>
                <c:pt idx="0">
                  <c:v>0.3</c:v>
                </c:pt>
                <c:pt idx="1">
                  <c:v>0.33200000000000002</c:v>
                </c:pt>
                <c:pt idx="2">
                  <c:v>0.29299999999999998</c:v>
                </c:pt>
                <c:pt idx="3">
                  <c:v>0.17699999999999999</c:v>
                </c:pt>
                <c:pt idx="4">
                  <c:v>0.24399999999999999</c:v>
                </c:pt>
                <c:pt idx="5">
                  <c:v>0.21299999999999999</c:v>
                </c:pt>
                <c:pt idx="6">
                  <c:v>0.19500000000000001</c:v>
                </c:pt>
                <c:pt idx="7">
                  <c:v>0.27100000000000002</c:v>
                </c:pt>
                <c:pt idx="8">
                  <c:v>0.38100000000000001</c:v>
                </c:pt>
                <c:pt idx="9">
                  <c:v>0.248</c:v>
                </c:pt>
                <c:pt idx="10">
                  <c:v>0.17</c:v>
                </c:pt>
                <c:pt idx="11">
                  <c:v>0.20499999999999999</c:v>
                </c:pt>
                <c:pt idx="12">
                  <c:v>0.193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1A-4FA2-A40B-F498E1C3F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4144392"/>
        <c:axId val="344171528"/>
      </c:barChart>
      <c:catAx>
        <c:axId val="344144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171528"/>
        <c:crosses val="autoZero"/>
        <c:auto val="1"/>
        <c:lblAlgn val="ctr"/>
        <c:lblOffset val="100"/>
        <c:noMultiLvlLbl val="0"/>
      </c:catAx>
      <c:valAx>
        <c:axId val="344171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144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Adults Reporting Smoking by County, 2024 CHR</a:t>
            </a:r>
          </a:p>
        </c:rich>
      </c:tx>
      <c:layout>
        <c:manualLayout>
          <c:xMode val="edge"/>
          <c:yMode val="edge"/>
          <c:x val="8.958831445749442E-2"/>
          <c:y val="1.2518647927135678E-2"/>
        </c:manualLayout>
      </c:layout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6E-4FD5-8F7E-FF2C82DC8743}"/>
              </c:ext>
            </c:extLst>
          </c:dP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4B6E-4FD5-8F7E-FF2C82DC8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Adults Reporting Excessive Drinking, by County 2018     -  2022                                                            RHIC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'Raw Data'!$AA$4</c:f>
              <c:strCache>
                <c:ptCount val="1"/>
                <c:pt idx="0">
                  <c:v>Percentage of Adults Reporting Excessive Drinking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40-4C51-935E-31EFDB9FE2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40-4C51-935E-31EFDB9FE2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740-4C51-935E-31EFDB9FE2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740-4C51-935E-31EFDB9FE2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740-4C51-935E-31EFDB9FE2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740-4C51-935E-31EFDB9FE29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740-4C51-935E-31EFDB9FE29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740-4C51-935E-31EFDB9FE29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740-4C51-935E-31EFDB9FE29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740-4C51-935E-31EFDB9FE29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B740-4C51-935E-31EFDB9FE29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B740-4C51-935E-31EFDB9FE29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B740-4C51-935E-31EFDB9FE2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'Raw Data'!$A$5:$A$17</c:f>
              <c:strCache>
                <c:ptCount val="13"/>
                <c:pt idx="0">
                  <c:v>Burke </c:v>
                </c:pt>
                <c:pt idx="1">
                  <c:v>Columbia </c:v>
                </c:pt>
                <c:pt idx="2">
                  <c:v>Emanuel </c:v>
                </c:pt>
                <c:pt idx="3">
                  <c:v>Glascock </c:v>
                </c:pt>
                <c:pt idx="4">
                  <c:v>Jefferson </c:v>
                </c:pt>
                <c:pt idx="5">
                  <c:v>Jenkins </c:v>
                </c:pt>
                <c:pt idx="6">
                  <c:v>Lincoln </c:v>
                </c:pt>
                <c:pt idx="7">
                  <c:v>McDuffie </c:v>
                </c:pt>
                <c:pt idx="8">
                  <c:v>Richmond </c:v>
                </c:pt>
                <c:pt idx="9">
                  <c:v>Screven </c:v>
                </c:pt>
                <c:pt idx="10">
                  <c:v>Taliaferro </c:v>
                </c:pt>
                <c:pt idx="11">
                  <c:v>Warren </c:v>
                </c:pt>
                <c:pt idx="12">
                  <c:v>Wilkes</c:v>
                </c:pt>
              </c:strCache>
            </c:strRef>
          </c:cat>
          <c:val>
            <c:numRef>
              <c:f>'Raw Data'!$AA$5:$AA$17</c:f>
              <c:numCache>
                <c:formatCode>0.00%</c:formatCode>
                <c:ptCount val="13"/>
                <c:pt idx="0">
                  <c:v>0.1426</c:v>
                </c:pt>
                <c:pt idx="1">
                  <c:v>0.1648</c:v>
                </c:pt>
                <c:pt idx="2">
                  <c:v>0.1469</c:v>
                </c:pt>
                <c:pt idx="3">
                  <c:v>0.15920000000000001</c:v>
                </c:pt>
                <c:pt idx="4">
                  <c:v>0.13389999999999999</c:v>
                </c:pt>
                <c:pt idx="5">
                  <c:v>0.1353</c:v>
                </c:pt>
                <c:pt idx="6">
                  <c:v>0.1368</c:v>
                </c:pt>
                <c:pt idx="7">
                  <c:v>0.13880000000000001</c:v>
                </c:pt>
                <c:pt idx="8">
                  <c:v>0.15629999999999999</c:v>
                </c:pt>
                <c:pt idx="9">
                  <c:v>0.1452</c:v>
                </c:pt>
                <c:pt idx="10">
                  <c:v>0.1166</c:v>
                </c:pt>
                <c:pt idx="11">
                  <c:v>0.1216</c:v>
                </c:pt>
                <c:pt idx="12">
                  <c:v>0.12989999999999999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740-4C51-935E-31EFDB9FE29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Snapshots'!$A$4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Snapshots'!$B$3:$C$3</c:f>
              <c:strCache>
                <c:ptCount val="2"/>
                <c:pt idx="0">
                  <c:v>County Health Rankings</c:v>
                </c:pt>
                <c:pt idx="1">
                  <c:v>Gerogia Rural Health Innovation Center (5yr Average)</c:v>
                </c:pt>
              </c:strCache>
            </c:strRef>
          </c:cat>
          <c:val>
            <c:numRef>
              <c:f>'County Snapshots'!$B$4:$C$4</c:f>
              <c:numCache>
                <c:formatCode>#,##0</c:formatCode>
                <c:ptCount val="2"/>
                <c:pt idx="0">
                  <c:v>24388</c:v>
                </c:pt>
                <c:pt idx="1">
                  <c:v>24337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E-4381-9CB6-C1635874C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845616"/>
        <c:axId val="505842736"/>
      </c:barChart>
      <c:catAx>
        <c:axId val="50584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2736"/>
        <c:crosses val="autoZero"/>
        <c:auto val="1"/>
        <c:lblAlgn val="ctr"/>
        <c:lblOffset val="100"/>
        <c:noMultiLvlLbl val="0"/>
      </c:catAx>
      <c:valAx>
        <c:axId val="50584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Snapshots'!$F$4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Snapshots'!$G$3:$H$3</c:f>
              <c:strCache>
                <c:ptCount val="2"/>
                <c:pt idx="0">
                  <c:v>County Health Rankings</c:v>
                </c:pt>
                <c:pt idx="1">
                  <c:v>Gerogia Rural Health Innovation Center (5yr Average)</c:v>
                </c:pt>
              </c:strCache>
            </c:strRef>
          </c:cat>
          <c:val>
            <c:numRef>
              <c:f>'County Snapshots'!$G$4:$H$4</c:f>
              <c:numCache>
                <c:formatCode>#,##0</c:formatCode>
                <c:ptCount val="2"/>
                <c:pt idx="0">
                  <c:v>162419</c:v>
                </c:pt>
                <c:pt idx="1">
                  <c:v>156921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8-40CF-8AA6-524E5A1E5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845616"/>
        <c:axId val="505842736"/>
      </c:barChart>
      <c:catAx>
        <c:axId val="50584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2736"/>
        <c:crosses val="autoZero"/>
        <c:auto val="1"/>
        <c:lblAlgn val="ctr"/>
        <c:lblOffset val="100"/>
        <c:noMultiLvlLbl val="0"/>
      </c:catAx>
      <c:valAx>
        <c:axId val="50584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Snapshots'!$K$4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Snapshots'!$L$3:$M$3</c:f>
              <c:strCache>
                <c:ptCount val="2"/>
                <c:pt idx="0">
                  <c:v>County Health Rankings</c:v>
                </c:pt>
                <c:pt idx="1">
                  <c:v>Gerogia Rural Health Innovation Center (5yr Average)</c:v>
                </c:pt>
              </c:strCache>
            </c:strRef>
          </c:cat>
          <c:val>
            <c:numRef>
              <c:f>'County Snapshots'!$L$4:$M$4</c:f>
              <c:numCache>
                <c:formatCode>#,##0</c:formatCode>
                <c:ptCount val="2"/>
                <c:pt idx="0">
                  <c:v>22929</c:v>
                </c:pt>
                <c:pt idx="1">
                  <c:v>22907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8-43C6-8B34-017FADDBD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845616"/>
        <c:axId val="505842736"/>
      </c:barChart>
      <c:catAx>
        <c:axId val="50584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2736"/>
        <c:crosses val="autoZero"/>
        <c:auto val="1"/>
        <c:lblAlgn val="ctr"/>
        <c:lblOffset val="100"/>
        <c:noMultiLvlLbl val="0"/>
      </c:catAx>
      <c:valAx>
        <c:axId val="50584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Snapshots'!$P$4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Snapshots'!$Q$3:$R$3</c:f>
              <c:strCache>
                <c:ptCount val="2"/>
                <c:pt idx="0">
                  <c:v>County Health Rankings</c:v>
                </c:pt>
                <c:pt idx="1">
                  <c:v>Gerogia Rural Health Innovation Center (5yr Average)</c:v>
                </c:pt>
              </c:strCache>
            </c:strRef>
          </c:cat>
          <c:val>
            <c:numRef>
              <c:f>'County Snapshots'!$Q$4:$R$4</c:f>
              <c:numCache>
                <c:formatCode>#,##0</c:formatCode>
                <c:ptCount val="2"/>
                <c:pt idx="0">
                  <c:v>2939</c:v>
                </c:pt>
                <c:pt idx="1">
                  <c:v>2903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6-4BB7-9558-018242739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845616"/>
        <c:axId val="505842736"/>
      </c:barChart>
      <c:catAx>
        <c:axId val="50584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2736"/>
        <c:crosses val="autoZero"/>
        <c:auto val="1"/>
        <c:lblAlgn val="ctr"/>
        <c:lblOffset val="100"/>
        <c:noMultiLvlLbl val="0"/>
      </c:catAx>
      <c:valAx>
        <c:axId val="50584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Snapshots'!$U$4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Snapshots'!$V$3:$W$3</c:f>
              <c:strCache>
                <c:ptCount val="2"/>
                <c:pt idx="0">
                  <c:v>County Health Rankings</c:v>
                </c:pt>
                <c:pt idx="1">
                  <c:v>Gerogia Rural Health Innovation Center (5yr Average)</c:v>
                </c:pt>
              </c:strCache>
            </c:strRef>
          </c:cat>
          <c:val>
            <c:numRef>
              <c:f>'County Snapshots'!$V$4:$W$4</c:f>
              <c:numCache>
                <c:formatCode>#,##0</c:formatCode>
                <c:ptCount val="2"/>
                <c:pt idx="0">
                  <c:v>15314</c:v>
                </c:pt>
                <c:pt idx="1">
                  <c:v>15591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8-4697-8914-D57C23D0D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845616"/>
        <c:axId val="505842736"/>
      </c:barChart>
      <c:catAx>
        <c:axId val="50584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2736"/>
        <c:crosses val="autoZero"/>
        <c:auto val="1"/>
        <c:lblAlgn val="ctr"/>
        <c:lblOffset val="100"/>
        <c:noMultiLvlLbl val="0"/>
      </c:catAx>
      <c:valAx>
        <c:axId val="50584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Snapshots'!$Z$4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Snapshots'!$AA$3:$AB$3</c:f>
              <c:strCache>
                <c:ptCount val="2"/>
                <c:pt idx="0">
                  <c:v>County Health Rankings</c:v>
                </c:pt>
                <c:pt idx="1">
                  <c:v>Gerogia Rural Health Innovation Center (5yr Average)</c:v>
                </c:pt>
              </c:strCache>
            </c:strRef>
          </c:cat>
          <c:val>
            <c:numRef>
              <c:f>'County Snapshots'!$AA$4:$AB$4</c:f>
              <c:numCache>
                <c:formatCode>#,##0</c:formatCode>
                <c:ptCount val="2"/>
                <c:pt idx="0">
                  <c:v>8689</c:v>
                </c:pt>
                <c:pt idx="1">
                  <c:v>8704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B-48C3-A236-D8F5ECA41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845616"/>
        <c:axId val="505842736"/>
      </c:barChart>
      <c:catAx>
        <c:axId val="50584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2736"/>
        <c:crosses val="autoZero"/>
        <c:auto val="1"/>
        <c:lblAlgn val="ctr"/>
        <c:lblOffset val="100"/>
        <c:noMultiLvlLbl val="0"/>
      </c:catAx>
      <c:valAx>
        <c:axId val="50584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Snapshots'!$AE$4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Snapshots'!$AF$3:$AG$3</c:f>
              <c:strCache>
                <c:ptCount val="2"/>
                <c:pt idx="0">
                  <c:v>County Health Rankings</c:v>
                </c:pt>
                <c:pt idx="1">
                  <c:v>Gerogia Rural Health Innovation Center (5yr Average)</c:v>
                </c:pt>
              </c:strCache>
            </c:strRef>
          </c:cat>
          <c:val>
            <c:numRef>
              <c:f>'County Snapshots'!$AF$4:$AG$4</c:f>
              <c:numCache>
                <c:formatCode>#,##0</c:formatCode>
                <c:ptCount val="2"/>
                <c:pt idx="0">
                  <c:v>7841</c:v>
                </c:pt>
                <c:pt idx="1">
                  <c:v>7726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4-491B-9A3D-A509C780C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845616"/>
        <c:axId val="505842736"/>
      </c:barChart>
      <c:catAx>
        <c:axId val="50584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2736"/>
        <c:crosses val="autoZero"/>
        <c:auto val="1"/>
        <c:lblAlgn val="ctr"/>
        <c:lblOffset val="100"/>
        <c:noMultiLvlLbl val="0"/>
      </c:catAx>
      <c:valAx>
        <c:axId val="50584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Snapshots'!$AJ$4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Snapshots'!$AK$3:$AL$3</c:f>
              <c:strCache>
                <c:ptCount val="2"/>
                <c:pt idx="0">
                  <c:v>County Health Rankings</c:v>
                </c:pt>
                <c:pt idx="1">
                  <c:v>Gerogia Rural Health Innovation Center (5yr Average)</c:v>
                </c:pt>
              </c:strCache>
            </c:strRef>
          </c:cat>
          <c:val>
            <c:numRef>
              <c:f>'County Snapshots'!$AK$4:$AL$4</c:f>
              <c:numCache>
                <c:formatCode>#,##0</c:formatCode>
                <c:ptCount val="2"/>
                <c:pt idx="0">
                  <c:v>21713</c:v>
                </c:pt>
                <c:pt idx="1">
                  <c:v>21715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CA-4786-B67C-33DE9CFD3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845616"/>
        <c:axId val="505842736"/>
      </c:barChart>
      <c:catAx>
        <c:axId val="50584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2736"/>
        <c:crosses val="autoZero"/>
        <c:auto val="1"/>
        <c:lblAlgn val="ctr"/>
        <c:lblOffset val="100"/>
        <c:noMultiLvlLbl val="0"/>
      </c:catAx>
      <c:valAx>
        <c:axId val="50584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Snapshots'!$AO$4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Snapshots'!$AP$3:$AQ$3</c:f>
              <c:strCache>
                <c:ptCount val="2"/>
                <c:pt idx="0">
                  <c:v>County Health Rankings</c:v>
                </c:pt>
                <c:pt idx="1">
                  <c:v>Gerogia Rural Health Innovation Center (5yr Average)</c:v>
                </c:pt>
              </c:strCache>
            </c:strRef>
          </c:cat>
          <c:val>
            <c:numRef>
              <c:f>'County Snapshots'!$AP$4:$AQ$4</c:f>
              <c:numCache>
                <c:formatCode>#,##0</c:formatCode>
                <c:ptCount val="2"/>
                <c:pt idx="0">
                  <c:v>206640</c:v>
                </c:pt>
                <c:pt idx="1">
                  <c:v>206153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3-443E-968A-24D9F34A0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845616"/>
        <c:axId val="505842736"/>
      </c:barChart>
      <c:catAx>
        <c:axId val="50584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2736"/>
        <c:crosses val="autoZero"/>
        <c:auto val="1"/>
        <c:lblAlgn val="ctr"/>
        <c:lblOffset val="100"/>
        <c:noMultiLvlLbl val="0"/>
      </c:catAx>
      <c:valAx>
        <c:axId val="50584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Snapshots'!$AT$4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Snapshots'!$AU$3:$AV$3</c:f>
              <c:strCache>
                <c:ptCount val="2"/>
                <c:pt idx="0">
                  <c:v>County Health Rankings</c:v>
                </c:pt>
                <c:pt idx="1">
                  <c:v>Gerogia Rural Health Innovation Center (5yr Average)</c:v>
                </c:pt>
              </c:strCache>
            </c:strRef>
          </c:cat>
          <c:val>
            <c:numRef>
              <c:f>'County Snapshots'!$AU$4:$AV$4</c:f>
              <c:numCache>
                <c:formatCode>#,##0</c:formatCode>
                <c:ptCount val="2"/>
                <c:pt idx="0">
                  <c:v>13977</c:v>
                </c:pt>
                <c:pt idx="1">
                  <c:v>14026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7-4586-968E-ACF92C370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845616"/>
        <c:axId val="505842736"/>
      </c:barChart>
      <c:catAx>
        <c:axId val="50584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2736"/>
        <c:crosses val="autoZero"/>
        <c:auto val="1"/>
        <c:lblAlgn val="ctr"/>
        <c:lblOffset val="100"/>
        <c:noMultiLvlLbl val="0"/>
      </c:catAx>
      <c:valAx>
        <c:axId val="50584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Snapshots'!$AY$4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Snapshots'!$AZ$3:$BA$3</c:f>
              <c:strCache>
                <c:ptCount val="2"/>
                <c:pt idx="0">
                  <c:v>County Health Rankings</c:v>
                </c:pt>
                <c:pt idx="1">
                  <c:v>Gerogia Rural Health Innovation Center (5yr Average)</c:v>
                </c:pt>
              </c:strCache>
            </c:strRef>
          </c:cat>
          <c:val>
            <c:numRef>
              <c:f>'County Snapshots'!$AZ$4:$BA$4</c:f>
              <c:numCache>
                <c:formatCode>#,##0</c:formatCode>
                <c:ptCount val="2"/>
                <c:pt idx="0">
                  <c:v>1600</c:v>
                </c:pt>
                <c:pt idx="1">
                  <c:v>1635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A-466D-9F89-A15953F46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845616"/>
        <c:axId val="505842736"/>
      </c:barChart>
      <c:catAx>
        <c:axId val="50584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2736"/>
        <c:crosses val="autoZero"/>
        <c:auto val="1"/>
        <c:lblAlgn val="ctr"/>
        <c:lblOffset val="100"/>
        <c:noMultiLvlLbl val="0"/>
      </c:catAx>
      <c:valAx>
        <c:axId val="50584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Snapshots'!$BD$4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Snapshots'!$BE$3:$BF$3</c:f>
              <c:strCache>
                <c:ptCount val="2"/>
                <c:pt idx="0">
                  <c:v>County Health Rankings</c:v>
                </c:pt>
                <c:pt idx="1">
                  <c:v>Gerogia Rural Health Innovation Center (5yr Average)</c:v>
                </c:pt>
              </c:strCache>
            </c:strRef>
          </c:cat>
          <c:val>
            <c:numRef>
              <c:f>'County Snapshots'!$BE$4:$BF$4</c:f>
              <c:numCache>
                <c:formatCode>#,##0</c:formatCode>
                <c:ptCount val="2"/>
                <c:pt idx="0">
                  <c:v>5155</c:v>
                </c:pt>
                <c:pt idx="1">
                  <c:v>5197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1-478B-AD47-804D0FE38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845616"/>
        <c:axId val="505842736"/>
      </c:barChart>
      <c:catAx>
        <c:axId val="50584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2736"/>
        <c:crosses val="autoZero"/>
        <c:auto val="1"/>
        <c:lblAlgn val="ctr"/>
        <c:lblOffset val="100"/>
        <c:noMultiLvlLbl val="0"/>
      </c:catAx>
      <c:valAx>
        <c:axId val="50584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Snapshots'!$BJ$3:$BK$3</c:f>
              <c:strCache>
                <c:ptCount val="2"/>
                <c:pt idx="0">
                  <c:v>County Health Rankings</c:v>
                </c:pt>
                <c:pt idx="1">
                  <c:v>Gerogia Rural Health Innovation Center (5yr Average)</c:v>
                </c:pt>
              </c:strCache>
            </c:strRef>
          </c:cat>
          <c:val>
            <c:numRef>
              <c:f>'County Snapshots'!$BJ$4:$BK$4</c:f>
              <c:numCache>
                <c:formatCode>#,##0</c:formatCode>
                <c:ptCount val="2"/>
                <c:pt idx="0">
                  <c:v>9599</c:v>
                </c:pt>
                <c:pt idx="1">
                  <c:v>9610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{"Population"}</c15:sqref>
                        </c15:formulaRef>
                      </c:ext>
                    </c:extLst>
                    <c:strCache>
                      <c:ptCount val="1"/>
                      <c:pt idx="0">
                        <c:v>Population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171-4D9C-90F2-945011BFE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845616"/>
        <c:axId val="505842736"/>
      </c:barChart>
      <c:catAx>
        <c:axId val="50584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2736"/>
        <c:crosses val="autoZero"/>
        <c:auto val="1"/>
        <c:lblAlgn val="ctr"/>
        <c:lblOffset val="100"/>
        <c:noMultiLvlLbl val="0"/>
      </c:catAx>
      <c:valAx>
        <c:axId val="50584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Snapshots'!$BN$4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Snapshots'!$BO$3:$BP$3</c:f>
              <c:strCache>
                <c:ptCount val="2"/>
                <c:pt idx="0">
                  <c:v>County Health Rankings</c:v>
                </c:pt>
                <c:pt idx="1">
                  <c:v>Gerogia Rural Health Innovation Center (5yr Average)</c:v>
                </c:pt>
              </c:strCache>
            </c:strRef>
          </c:cat>
          <c:val>
            <c:numRef>
              <c:f>'County Snapshots'!$BO$4:$BP$4</c:f>
              <c:numCache>
                <c:formatCode>#,##0</c:formatCode>
                <c:ptCount val="2"/>
                <c:pt idx="0">
                  <c:v>10912876</c:v>
                </c:pt>
                <c:pt idx="1">
                  <c:v>10722325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7-473B-8C5E-1681A773B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05845616"/>
        <c:axId val="505842736"/>
      </c:barChart>
      <c:catAx>
        <c:axId val="50584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2736"/>
        <c:crosses val="autoZero"/>
        <c:auto val="1"/>
        <c:lblAlgn val="ctr"/>
        <c:lblOffset val="100"/>
        <c:noMultiLvlLbl val="0"/>
      </c:catAx>
      <c:valAx>
        <c:axId val="50584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3 Races in District (by county)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Snapshots'!$B$3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Snapshots'!$B$8:$B$10</c:f>
              <c:numCache>
                <c:formatCode>0</c:formatCode>
                <c:ptCount val="3"/>
                <c:pt idx="0">
                  <c:v>11795</c:v>
                </c:pt>
                <c:pt idx="1">
                  <c:v>11011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19-4396-A806-67D4FE2ADA93}"/>
            </c:ext>
          </c:extLst>
        </c:ser>
        <c:ser>
          <c:idx val="1"/>
          <c:order val="1"/>
          <c:tx>
            <c:strRef>
              <c:f>'County Snapshots'!$C$3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Snapshots'!$C$8:$C$10</c:f>
              <c:numCache>
                <c:formatCode>#,##0</c:formatCode>
                <c:ptCount val="3"/>
                <c:pt idx="0">
                  <c:v>12127</c:v>
                </c:pt>
                <c:pt idx="1">
                  <c:v>11095</c:v>
                </c:pt>
                <c:pt idx="2">
                  <c:v>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C19-4396-A806-67D4FE2AD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228144"/>
        <c:axId val="631236304"/>
      </c:barChart>
      <c:catAx>
        <c:axId val="63122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36304"/>
        <c:crosses val="autoZero"/>
        <c:auto val="1"/>
        <c:lblAlgn val="ctr"/>
        <c:lblOffset val="100"/>
        <c:noMultiLvlLbl val="0"/>
      </c:catAx>
      <c:valAx>
        <c:axId val="6312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2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3 Races in District (by county)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Snapshots'!$B$3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Snapshots'!$B$8:$B$10</c:f>
              <c:numCache>
                <c:formatCode>0</c:formatCode>
                <c:ptCount val="3"/>
                <c:pt idx="0">
                  <c:v>11795</c:v>
                </c:pt>
                <c:pt idx="1">
                  <c:v>11011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B-40A2-90D4-F6CFDA856C45}"/>
            </c:ext>
          </c:extLst>
        </c:ser>
        <c:ser>
          <c:idx val="1"/>
          <c:order val="1"/>
          <c:tx>
            <c:strRef>
              <c:f>'County Snapshots'!$C$3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Snapshots'!$C$8:$C$10</c:f>
              <c:numCache>
                <c:formatCode>#,##0</c:formatCode>
                <c:ptCount val="3"/>
                <c:pt idx="0">
                  <c:v>12127</c:v>
                </c:pt>
                <c:pt idx="1">
                  <c:v>11095</c:v>
                </c:pt>
                <c:pt idx="2">
                  <c:v>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DB-40A2-90D4-F6CFDA856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228144"/>
        <c:axId val="631236304"/>
      </c:barChart>
      <c:catAx>
        <c:axId val="63122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36304"/>
        <c:crosses val="autoZero"/>
        <c:auto val="1"/>
        <c:lblAlgn val="ctr"/>
        <c:lblOffset val="100"/>
        <c:noMultiLvlLbl val="0"/>
      </c:catAx>
      <c:valAx>
        <c:axId val="6312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2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3 Races in District (by county)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Snapshots'!$L$3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Snapshots'!$L$8:$L$10</c:f>
              <c:numCache>
                <c:formatCode>#,##0</c:formatCode>
                <c:ptCount val="3"/>
                <c:pt idx="0">
                  <c:v>13392</c:v>
                </c:pt>
                <c:pt idx="1">
                  <c:v>7889</c:v>
                </c:pt>
                <c:pt idx="2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4-40C7-AB30-8FDAC2384050}"/>
            </c:ext>
          </c:extLst>
        </c:ser>
        <c:ser>
          <c:idx val="1"/>
          <c:order val="1"/>
          <c:tx>
            <c:strRef>
              <c:f>'County Snapshots'!$M$3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Snapshots'!$M$8:$M$10</c:f>
              <c:numCache>
                <c:formatCode>#,##0</c:formatCode>
                <c:ptCount val="3"/>
                <c:pt idx="0">
                  <c:v>13861</c:v>
                </c:pt>
                <c:pt idx="1">
                  <c:v>2565</c:v>
                </c:pt>
                <c:pt idx="2">
                  <c:v>1220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C4-40C7-AB30-8FDAC2384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228144"/>
        <c:axId val="631236304"/>
      </c:barChart>
      <c:catAx>
        <c:axId val="63122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36304"/>
        <c:crosses val="autoZero"/>
        <c:auto val="1"/>
        <c:lblAlgn val="ctr"/>
        <c:lblOffset val="100"/>
        <c:noMultiLvlLbl val="0"/>
      </c:catAx>
      <c:valAx>
        <c:axId val="6312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2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3 Races in District (by county)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Snapshots'!$Q$3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Snapshots'!$Q$8:$Q$10</c:f>
              <c:numCache>
                <c:formatCode>0</c:formatCode>
                <c:ptCount val="3"/>
                <c:pt idx="0" formatCode="#,##0">
                  <c:v>2555</c:v>
                </c:pt>
                <c:pt idx="1">
                  <c:v>248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9F-44FB-B911-6EF64ECAFB2C}"/>
            </c:ext>
          </c:extLst>
        </c:ser>
        <c:ser>
          <c:idx val="1"/>
          <c:order val="1"/>
          <c:tx>
            <c:strRef>
              <c:f>'County Snapshots'!$R$3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Snapshots'!$R$8:$R$10</c:f>
              <c:numCache>
                <c:formatCode>#,##0</c:formatCode>
                <c:ptCount val="3"/>
                <c:pt idx="0">
                  <c:v>2565</c:v>
                </c:pt>
                <c:pt idx="1">
                  <c:v>307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9F-44FB-B911-6EF64ECAF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228144"/>
        <c:axId val="631236304"/>
      </c:barChart>
      <c:catAx>
        <c:axId val="63122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36304"/>
        <c:crosses val="autoZero"/>
        <c:auto val="1"/>
        <c:lblAlgn val="ctr"/>
        <c:lblOffset val="100"/>
        <c:noMultiLvlLbl val="0"/>
      </c:catAx>
      <c:valAx>
        <c:axId val="6312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2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3 Races in District (by county)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Snapshots'!$V$3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Snapshots'!$V$8:$V$10</c:f>
              <c:numCache>
                <c:formatCode>#,##0</c:formatCode>
                <c:ptCount val="3"/>
                <c:pt idx="0">
                  <c:v>6481</c:v>
                </c:pt>
                <c:pt idx="1">
                  <c:v>7843</c:v>
                </c:pt>
                <c:pt idx="2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3-4E72-96D6-AD39C9CA12E8}"/>
            </c:ext>
          </c:extLst>
        </c:ser>
        <c:ser>
          <c:idx val="1"/>
          <c:order val="1"/>
          <c:tx>
            <c:strRef>
              <c:f>'County Snapshots'!$W$3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Snapshots'!$W$8:$W$10</c:f>
              <c:numCache>
                <c:formatCode>#,##0</c:formatCode>
                <c:ptCount val="3"/>
                <c:pt idx="0">
                  <c:v>6737</c:v>
                </c:pt>
                <c:pt idx="1">
                  <c:v>8138</c:v>
                </c:pt>
                <c:pt idx="2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93-4E72-96D6-AD39C9CA1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228144"/>
        <c:axId val="631236304"/>
      </c:barChart>
      <c:catAx>
        <c:axId val="63122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36304"/>
        <c:crosses val="autoZero"/>
        <c:auto val="1"/>
        <c:lblAlgn val="ctr"/>
        <c:lblOffset val="100"/>
        <c:noMultiLvlLbl val="0"/>
      </c:catAx>
      <c:valAx>
        <c:axId val="6312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2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3 Races in District (by county)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Snapshots'!$AA$3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Snapshots'!$AA$8:$AA$10</c:f>
              <c:numCache>
                <c:formatCode>#,##0</c:formatCode>
                <c:ptCount val="3"/>
                <c:pt idx="0">
                  <c:v>4342</c:v>
                </c:pt>
                <c:pt idx="1">
                  <c:v>3483</c:v>
                </c:pt>
                <c:pt idx="2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D-45BF-BECD-CD801D1FA5E0}"/>
            </c:ext>
          </c:extLst>
        </c:ser>
        <c:ser>
          <c:idx val="1"/>
          <c:order val="1"/>
          <c:tx>
            <c:strRef>
              <c:f>'County Snapshots'!$AB$3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Snapshots'!$AB$8:$AB$10</c:f>
              <c:numCache>
                <c:formatCode>#,##0</c:formatCode>
                <c:ptCount val="3"/>
                <c:pt idx="0">
                  <c:v>4985</c:v>
                </c:pt>
                <c:pt idx="1">
                  <c:v>3036</c:v>
                </c:pt>
                <c:pt idx="2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9D-45BF-BECD-CD801D1FA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228144"/>
        <c:axId val="631236304"/>
      </c:barChart>
      <c:catAx>
        <c:axId val="63122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36304"/>
        <c:crosses val="autoZero"/>
        <c:auto val="1"/>
        <c:lblAlgn val="ctr"/>
        <c:lblOffset val="100"/>
        <c:noMultiLvlLbl val="0"/>
      </c:catAx>
      <c:valAx>
        <c:axId val="6312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2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3 Races in District (by county)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Snapshots'!$AF$3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Snapshots'!$AF$8:$AF$10</c:f>
              <c:numCache>
                <c:formatCode>#,##0</c:formatCode>
                <c:ptCount val="3"/>
                <c:pt idx="0">
                  <c:v>5418</c:v>
                </c:pt>
                <c:pt idx="1">
                  <c:v>2035</c:v>
                </c:pt>
                <c:pt idx="2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7-4E54-8EA3-0549B4307483}"/>
            </c:ext>
          </c:extLst>
        </c:ser>
        <c:ser>
          <c:idx val="1"/>
          <c:order val="1"/>
          <c:tx>
            <c:strRef>
              <c:f>'County Snapshots'!$AG$3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Snapshots'!$AG$8:$AG$10</c:f>
              <c:numCache>
                <c:formatCode>#,##0</c:formatCode>
                <c:ptCount val="3"/>
                <c:pt idx="0">
                  <c:v>5302</c:v>
                </c:pt>
                <c:pt idx="1">
                  <c:v>2175</c:v>
                </c:pt>
                <c:pt idx="2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57-4E54-8EA3-0549B4307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228144"/>
        <c:axId val="631236304"/>
      </c:barChart>
      <c:catAx>
        <c:axId val="63122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36304"/>
        <c:crosses val="autoZero"/>
        <c:auto val="1"/>
        <c:lblAlgn val="ctr"/>
        <c:lblOffset val="100"/>
        <c:noMultiLvlLbl val="0"/>
      </c:catAx>
      <c:valAx>
        <c:axId val="6312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2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3 Races in District (by county)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Snapshots'!$AK$3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Snapshots'!$AK$8:$AK$10</c:f>
              <c:numCache>
                <c:formatCode>#,##0</c:formatCode>
                <c:ptCount val="3"/>
                <c:pt idx="0">
                  <c:v>11514</c:v>
                </c:pt>
                <c:pt idx="1">
                  <c:v>8772</c:v>
                </c:pt>
                <c:pt idx="2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7-4926-A503-586CD168499D}"/>
            </c:ext>
          </c:extLst>
        </c:ser>
        <c:ser>
          <c:idx val="1"/>
          <c:order val="1"/>
          <c:tx>
            <c:strRef>
              <c:f>'County Snapshots'!$AL$3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Snapshots'!$AL$8:$AL$10</c:f>
              <c:numCache>
                <c:formatCode>#,##0</c:formatCode>
                <c:ptCount val="3"/>
                <c:pt idx="0">
                  <c:v>11864</c:v>
                </c:pt>
                <c:pt idx="1">
                  <c:v>8938</c:v>
                </c:pt>
                <c:pt idx="2">
                  <c:v>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B7-4926-A503-586CD1684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228144"/>
        <c:axId val="631236304"/>
      </c:barChart>
      <c:catAx>
        <c:axId val="63122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36304"/>
        <c:crosses val="autoZero"/>
        <c:auto val="1"/>
        <c:lblAlgn val="ctr"/>
        <c:lblOffset val="100"/>
        <c:noMultiLvlLbl val="0"/>
      </c:catAx>
      <c:valAx>
        <c:axId val="6312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2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3 Races in District (by county)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Snapshots'!$AP$3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Snapshots'!$AP$8:$AP$10</c:f>
              <c:numCache>
                <c:formatCode>#,##0</c:formatCode>
                <c:ptCount val="3"/>
                <c:pt idx="0">
                  <c:v>66521</c:v>
                </c:pt>
                <c:pt idx="1">
                  <c:v>119137</c:v>
                </c:pt>
                <c:pt idx="2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C-45EF-89AE-593E9F79D6A6}"/>
            </c:ext>
          </c:extLst>
        </c:ser>
        <c:ser>
          <c:idx val="1"/>
          <c:order val="1"/>
          <c:tx>
            <c:strRef>
              <c:f>'County Snapshots'!$AQ$3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Snapshots'!$AQ$8:$AQ$10</c:f>
              <c:numCache>
                <c:formatCode>#,##0</c:formatCode>
                <c:ptCount val="3"/>
                <c:pt idx="0">
                  <c:v>71015</c:v>
                </c:pt>
                <c:pt idx="1">
                  <c:v>115235</c:v>
                </c:pt>
                <c:pt idx="2">
                  <c:v>11937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9C-45EF-89AE-593E9F79D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228144"/>
        <c:axId val="631236304"/>
      </c:barChart>
      <c:catAx>
        <c:axId val="63122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36304"/>
        <c:crosses val="autoZero"/>
        <c:auto val="1"/>
        <c:lblAlgn val="ctr"/>
        <c:lblOffset val="100"/>
        <c:noMultiLvlLbl val="0"/>
      </c:catAx>
      <c:valAx>
        <c:axId val="6312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2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3 Races in District (by county)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Snapshots'!$AU$3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Snapshots'!$AU$8:$AU$10</c:f>
              <c:numCache>
                <c:formatCode>#,##0</c:formatCode>
                <c:ptCount val="3"/>
                <c:pt idx="0">
                  <c:v>7758</c:v>
                </c:pt>
                <c:pt idx="1">
                  <c:v>5483</c:v>
                </c:pt>
                <c:pt idx="2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2-4BD0-AA6F-16D8DEA6D2F3}"/>
            </c:ext>
          </c:extLst>
        </c:ser>
        <c:ser>
          <c:idx val="1"/>
          <c:order val="1"/>
          <c:tx>
            <c:strRef>
              <c:f>'County Snapshots'!$AV$3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Snapshots'!$AV$8:$AV$10</c:f>
              <c:numCache>
                <c:formatCode>#,##0</c:formatCode>
                <c:ptCount val="3"/>
                <c:pt idx="0">
                  <c:v>7938</c:v>
                </c:pt>
                <c:pt idx="1">
                  <c:v>5629</c:v>
                </c:pt>
                <c:pt idx="2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52-4BD0-AA6F-16D8DEA6D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228144"/>
        <c:axId val="631236304"/>
      </c:barChart>
      <c:catAx>
        <c:axId val="63122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36304"/>
        <c:crosses val="autoZero"/>
        <c:auto val="1"/>
        <c:lblAlgn val="ctr"/>
        <c:lblOffset val="100"/>
        <c:noMultiLvlLbl val="0"/>
      </c:catAx>
      <c:valAx>
        <c:axId val="6312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2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3 Races in District (by county)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Snapshots'!$AZ$3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Snapshots'!$AZ$8:$AZ$10</c:f>
              <c:numCache>
                <c:formatCode>0</c:formatCode>
                <c:ptCount val="3"/>
                <c:pt idx="0">
                  <c:v>597</c:v>
                </c:pt>
                <c:pt idx="1">
                  <c:v>829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5-4626-8538-0460A4871F80}"/>
            </c:ext>
          </c:extLst>
        </c:ser>
        <c:ser>
          <c:idx val="1"/>
          <c:order val="1"/>
          <c:tx>
            <c:strRef>
              <c:f>'County Snapshots'!$BA$3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Snapshots'!$BA$8:$BA$10</c:f>
              <c:numCache>
                <c:formatCode>0</c:formatCode>
                <c:ptCount val="3"/>
                <c:pt idx="0">
                  <c:v>599</c:v>
                </c:pt>
                <c:pt idx="1">
                  <c:v>822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D5-4626-8538-0460A4871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228144"/>
        <c:axId val="631236304"/>
      </c:barChart>
      <c:catAx>
        <c:axId val="63122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36304"/>
        <c:crosses val="autoZero"/>
        <c:auto val="1"/>
        <c:lblAlgn val="ctr"/>
        <c:lblOffset val="100"/>
        <c:noMultiLvlLbl val="0"/>
      </c:catAx>
      <c:valAx>
        <c:axId val="6312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2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3 Races in District (by county)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Snapshots'!$BE$3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Snapshots'!$BE$8:$BE$10</c:f>
              <c:numCache>
                <c:formatCode>#,##0</c:formatCode>
                <c:ptCount val="3"/>
                <c:pt idx="0">
                  <c:v>2053</c:v>
                </c:pt>
                <c:pt idx="1">
                  <c:v>2862</c:v>
                </c:pt>
                <c:pt idx="2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3-490F-9D7D-F5AC3F4D0C51}"/>
            </c:ext>
          </c:extLst>
        </c:ser>
        <c:ser>
          <c:idx val="1"/>
          <c:order val="1"/>
          <c:tx>
            <c:strRef>
              <c:f>'County Snapshots'!$BF$3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Snapshots'!$BF$8:$BF$10</c:f>
              <c:numCache>
                <c:formatCode>#,##0</c:formatCode>
                <c:ptCount val="3"/>
                <c:pt idx="0">
                  <c:v>1995</c:v>
                </c:pt>
                <c:pt idx="1">
                  <c:v>3104</c:v>
                </c:pt>
                <c:pt idx="2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13-490F-9D7D-F5AC3F4D0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228144"/>
        <c:axId val="631236304"/>
      </c:barChart>
      <c:catAx>
        <c:axId val="63122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36304"/>
        <c:crosses val="autoZero"/>
        <c:auto val="1"/>
        <c:lblAlgn val="ctr"/>
        <c:lblOffset val="100"/>
        <c:noMultiLvlLbl val="0"/>
      </c:catAx>
      <c:valAx>
        <c:axId val="6312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2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Male vs %</a:t>
            </a:r>
            <a:r>
              <a:rPr lang="en-US" baseline="0"/>
              <a:t> Female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Snapshots'!$B$3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Snapshots'!$A$5:$A$6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Snapshots'!$B$5:$B$6</c:f>
              <c:numCache>
                <c:formatCode>0.00%</c:formatCode>
                <c:ptCount val="2"/>
                <c:pt idx="0">
                  <c:v>0.47899999999999998</c:v>
                </c:pt>
                <c:pt idx="1">
                  <c:v>0.52100000000000002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9D-48D9-9EFD-89ACFD36832B}"/>
            </c:ext>
          </c:extLst>
        </c:ser>
        <c:ser>
          <c:idx val="1"/>
          <c:order val="1"/>
          <c:tx>
            <c:strRef>
              <c:f>'County Snapshots'!$C$3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Snapshots'!$A$5:$A$6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Snapshots'!$C$5:$C$6</c:f>
              <c:numCache>
                <c:formatCode>0.00%</c:formatCode>
                <c:ptCount val="2"/>
                <c:pt idx="0">
                  <c:v>0.49080000000000001</c:v>
                </c:pt>
                <c:pt idx="1">
                  <c:v>0.50919999999999999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9D-48D9-9EFD-89ACFD368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40672"/>
        <c:axId val="133843072"/>
      </c:barChart>
      <c:catAx>
        <c:axId val="13384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3072"/>
        <c:crosses val="autoZero"/>
        <c:auto val="1"/>
        <c:lblAlgn val="ctr"/>
        <c:lblOffset val="100"/>
        <c:noMultiLvlLbl val="0"/>
      </c:catAx>
      <c:valAx>
        <c:axId val="13384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Male vs</a:t>
            </a:r>
            <a:r>
              <a:rPr lang="en-US" baseline="0"/>
              <a:t> % Female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Snapshots'!$G$3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Snapshots'!$F$5:$F$6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Snapshots'!$G$5:$G$6</c:f>
              <c:numCache>
                <c:formatCode>0.00%</c:formatCode>
                <c:ptCount val="2"/>
                <c:pt idx="0">
                  <c:v>0.49</c:v>
                </c:pt>
                <c:pt idx="1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93-4528-B20C-E012E99BCD92}"/>
            </c:ext>
          </c:extLst>
        </c:ser>
        <c:ser>
          <c:idx val="1"/>
          <c:order val="1"/>
          <c:tx>
            <c:strRef>
              <c:f>'County Snapshots'!$H$3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Snapshots'!$F$5:$F$6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Snapshots'!$H$5:$H$6</c:f>
              <c:numCache>
                <c:formatCode>0.00%</c:formatCode>
                <c:ptCount val="2"/>
                <c:pt idx="0">
                  <c:v>0.49030000000000001</c:v>
                </c:pt>
                <c:pt idx="1">
                  <c:v>0.50970000000000004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93-4528-B20C-E012E99BC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40672"/>
        <c:axId val="133843072"/>
      </c:barChart>
      <c:catAx>
        <c:axId val="13384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3072"/>
        <c:crosses val="autoZero"/>
        <c:auto val="1"/>
        <c:lblAlgn val="ctr"/>
        <c:lblOffset val="100"/>
        <c:noMultiLvlLbl val="0"/>
      </c:catAx>
      <c:valAx>
        <c:axId val="13384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Male vs</a:t>
            </a:r>
            <a:r>
              <a:rPr lang="en-US" baseline="0"/>
              <a:t> % Female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Snapshots'!$L$3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Snapshots'!$K$5:$K$6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Snapshots'!$L$5:$L$6</c:f>
              <c:numCache>
                <c:formatCode>0.00%</c:formatCode>
                <c:ptCount val="2"/>
                <c:pt idx="0">
                  <c:v>0.50600000000000001</c:v>
                </c:pt>
                <c:pt idx="1">
                  <c:v>0.49399999999999999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20-40C2-BCF9-2E728BAC9F97}"/>
            </c:ext>
          </c:extLst>
        </c:ser>
        <c:ser>
          <c:idx val="1"/>
          <c:order val="1"/>
          <c:tx>
            <c:strRef>
              <c:f>'County Snapshots'!$M$3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Snapshots'!$K$5:$K$6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Snapshots'!$M$5:$M$6</c:f>
              <c:numCache>
                <c:formatCode>0.00%</c:formatCode>
                <c:ptCount val="2"/>
                <c:pt idx="0">
                  <c:v>0.50729999999999997</c:v>
                </c:pt>
                <c:pt idx="1">
                  <c:v>0.49270000000000003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20-40C2-BCF9-2E728BAC9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40672"/>
        <c:axId val="133843072"/>
      </c:barChart>
      <c:catAx>
        <c:axId val="13384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3072"/>
        <c:crosses val="autoZero"/>
        <c:auto val="1"/>
        <c:lblAlgn val="ctr"/>
        <c:lblOffset val="100"/>
        <c:noMultiLvlLbl val="0"/>
      </c:catAx>
      <c:valAx>
        <c:axId val="13384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Male vs</a:t>
            </a:r>
            <a:r>
              <a:rPr lang="en-US" baseline="0"/>
              <a:t> % Female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Snapshots'!$Q$3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Snapshots'!$K$5:$K$6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Snapshots'!$Q$5:$Q$6</c:f>
              <c:numCache>
                <c:formatCode>0.00%</c:formatCode>
                <c:ptCount val="2"/>
                <c:pt idx="0">
                  <c:v>0.502</c:v>
                </c:pt>
                <c:pt idx="1">
                  <c:v>0.498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50-4A62-A667-4FBA2DF8FDCD}"/>
            </c:ext>
          </c:extLst>
        </c:ser>
        <c:ser>
          <c:idx val="1"/>
          <c:order val="1"/>
          <c:tx>
            <c:strRef>
              <c:f>'County Snapshots'!$R$3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Snapshots'!$K$5:$K$6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Snapshots'!$R$5:$R$6</c:f>
              <c:numCache>
                <c:formatCode>0.00%</c:formatCode>
                <c:ptCount val="2"/>
                <c:pt idx="0">
                  <c:v>0.45679999999999998</c:v>
                </c:pt>
                <c:pt idx="1">
                  <c:v>0.54320000000000002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50-4A62-A667-4FBA2DF8F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40672"/>
        <c:axId val="133843072"/>
      </c:barChart>
      <c:catAx>
        <c:axId val="13384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3072"/>
        <c:crosses val="autoZero"/>
        <c:auto val="1"/>
        <c:lblAlgn val="ctr"/>
        <c:lblOffset val="100"/>
        <c:noMultiLvlLbl val="0"/>
      </c:catAx>
      <c:valAx>
        <c:axId val="13384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Male vs</a:t>
            </a:r>
            <a:r>
              <a:rPr lang="en-US" baseline="0"/>
              <a:t> % Female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Snapshots'!$V$3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Snapshots'!$K$5:$K$6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Snapshots'!$V$5:$V$6</c:f>
              <c:numCache>
                <c:formatCode>0.00%</c:formatCode>
                <c:ptCount val="2"/>
                <c:pt idx="0">
                  <c:v>0.48799999999999999</c:v>
                </c:pt>
                <c:pt idx="1">
                  <c:v>0.51200000000000001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AE-4784-9D86-4351F884BE51}"/>
            </c:ext>
          </c:extLst>
        </c:ser>
        <c:ser>
          <c:idx val="1"/>
          <c:order val="1"/>
          <c:tx>
            <c:strRef>
              <c:f>'County Snapshots'!$W$3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Snapshots'!$K$5:$K$6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Snapshots'!$W$5:$W$6</c:f>
              <c:numCache>
                <c:formatCode>0.00%</c:formatCode>
                <c:ptCount val="2"/>
                <c:pt idx="0">
                  <c:v>0.48630000000000001</c:v>
                </c:pt>
                <c:pt idx="1">
                  <c:v>0.51370000000000005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AE-4784-9D86-4351F884B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40672"/>
        <c:axId val="133843072"/>
      </c:barChart>
      <c:catAx>
        <c:axId val="13384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3072"/>
        <c:crosses val="autoZero"/>
        <c:auto val="1"/>
        <c:lblAlgn val="ctr"/>
        <c:lblOffset val="100"/>
        <c:noMultiLvlLbl val="0"/>
      </c:catAx>
      <c:valAx>
        <c:axId val="13384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Male vs</a:t>
            </a:r>
            <a:r>
              <a:rPr lang="en-US" baseline="0"/>
              <a:t> % Female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Snapshots'!$AA$3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Snapshots'!$K$5:$K$6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Snapshots'!$AA$5:$AA$6</c:f>
              <c:numCache>
                <c:formatCode>0.00%</c:formatCode>
                <c:ptCount val="2"/>
                <c:pt idx="0">
                  <c:v>0.53200000000000003</c:v>
                </c:pt>
                <c:pt idx="1">
                  <c:v>0.46800000000000003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2D-495A-87C5-0F80E61E8363}"/>
            </c:ext>
          </c:extLst>
        </c:ser>
        <c:ser>
          <c:idx val="1"/>
          <c:order val="1"/>
          <c:tx>
            <c:strRef>
              <c:f>'County Snapshots'!$AB$3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Snapshots'!$K$5:$K$6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Snapshots'!$AB$5:$AB$6</c:f>
              <c:numCache>
                <c:formatCode>0.00%</c:formatCode>
                <c:ptCount val="2"/>
                <c:pt idx="0">
                  <c:v>0.50060000000000004</c:v>
                </c:pt>
                <c:pt idx="1">
                  <c:v>0.49940000000000001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2D-495A-87C5-0F80E61E8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40672"/>
        <c:axId val="133843072"/>
      </c:barChart>
      <c:catAx>
        <c:axId val="13384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3072"/>
        <c:crosses val="autoZero"/>
        <c:auto val="1"/>
        <c:lblAlgn val="ctr"/>
        <c:lblOffset val="100"/>
        <c:noMultiLvlLbl val="0"/>
      </c:catAx>
      <c:valAx>
        <c:axId val="13384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Male vs</a:t>
            </a:r>
            <a:r>
              <a:rPr lang="en-US" baseline="0"/>
              <a:t> % Female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Snapshots'!$Q$3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Snapshots'!$K$5:$K$6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Snapshots'!$Q$5:$Q$6</c:f>
              <c:numCache>
                <c:formatCode>0.00%</c:formatCode>
                <c:ptCount val="2"/>
                <c:pt idx="0">
                  <c:v>0.502</c:v>
                </c:pt>
                <c:pt idx="1">
                  <c:v>0.498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4-43E5-8AA5-226C3BDDC3E1}"/>
            </c:ext>
          </c:extLst>
        </c:ser>
        <c:ser>
          <c:idx val="1"/>
          <c:order val="1"/>
          <c:tx>
            <c:strRef>
              <c:f>'County Snapshots'!$R$3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Snapshots'!$K$5:$K$6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Snapshots'!$R$5:$R$6</c:f>
              <c:numCache>
                <c:formatCode>0.00%</c:formatCode>
                <c:ptCount val="2"/>
                <c:pt idx="0">
                  <c:v>0.45679999999999998</c:v>
                </c:pt>
                <c:pt idx="1">
                  <c:v>0.54320000000000002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44-43E5-8AA5-226C3BDDC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40672"/>
        <c:axId val="133843072"/>
      </c:barChart>
      <c:catAx>
        <c:axId val="13384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3072"/>
        <c:crosses val="autoZero"/>
        <c:auto val="1"/>
        <c:lblAlgn val="ctr"/>
        <c:lblOffset val="100"/>
        <c:noMultiLvlLbl val="0"/>
      </c:catAx>
      <c:valAx>
        <c:axId val="13384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Male vs</a:t>
            </a:r>
            <a:r>
              <a:rPr lang="en-US" baseline="0"/>
              <a:t> % Female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Snapshots'!$AK$3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Snapshots'!$K$5:$K$6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Snapshots'!$AK$5:$AK$6</c:f>
              <c:numCache>
                <c:formatCode>0.00%</c:formatCode>
                <c:ptCount val="2"/>
                <c:pt idx="0">
                  <c:v>0.47199999999999998</c:v>
                </c:pt>
                <c:pt idx="1">
                  <c:v>0.52800000000000002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2F-428A-96D1-13F645D418F8}"/>
            </c:ext>
          </c:extLst>
        </c:ser>
        <c:ser>
          <c:idx val="1"/>
          <c:order val="1"/>
          <c:tx>
            <c:strRef>
              <c:f>'County Snapshots'!$AL$3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Snapshots'!$K$5:$K$6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Snapshots'!$AL$5:$AL$6</c:f>
              <c:numCache>
                <c:formatCode>0.00%</c:formatCode>
                <c:ptCount val="2"/>
                <c:pt idx="0">
                  <c:v>0.4839</c:v>
                </c:pt>
                <c:pt idx="1">
                  <c:v>0.5161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2F-428A-96D1-13F645D41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40672"/>
        <c:axId val="133843072"/>
      </c:barChart>
      <c:catAx>
        <c:axId val="13384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3072"/>
        <c:crosses val="autoZero"/>
        <c:auto val="1"/>
        <c:lblAlgn val="ctr"/>
        <c:lblOffset val="100"/>
        <c:noMultiLvlLbl val="0"/>
      </c:catAx>
      <c:valAx>
        <c:axId val="13384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Male vs</a:t>
            </a:r>
            <a:r>
              <a:rPr lang="en-US" baseline="0"/>
              <a:t> % Female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Snapshots'!$AP$3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Snapshots'!$K$5:$K$6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Snapshots'!$AP$5:$AP$6</c:f>
              <c:numCache>
                <c:formatCode>0.00%</c:formatCode>
                <c:ptCount val="2"/>
                <c:pt idx="0">
                  <c:v>0.48499999999999999</c:v>
                </c:pt>
                <c:pt idx="1">
                  <c:v>0.51500000000000001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33-4E44-9DC4-CB0C51CB154A}"/>
            </c:ext>
          </c:extLst>
        </c:ser>
        <c:ser>
          <c:idx val="1"/>
          <c:order val="1"/>
          <c:tx>
            <c:strRef>
              <c:f>'County Snapshots'!$AQ$3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Snapshots'!$K$5:$K$6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Snapshots'!$AQ$5:$AQ$6</c:f>
              <c:numCache>
                <c:formatCode>0.00%</c:formatCode>
                <c:ptCount val="2"/>
                <c:pt idx="0">
                  <c:v>0.48409999999999997</c:v>
                </c:pt>
                <c:pt idx="1">
                  <c:v>0.51590000000000003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33-4E44-9DC4-CB0C51CB1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40672"/>
        <c:axId val="133843072"/>
      </c:barChart>
      <c:catAx>
        <c:axId val="13384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3072"/>
        <c:crosses val="autoZero"/>
        <c:auto val="1"/>
        <c:lblAlgn val="ctr"/>
        <c:lblOffset val="100"/>
        <c:noMultiLvlLbl val="0"/>
      </c:catAx>
      <c:valAx>
        <c:axId val="13384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Male vs</a:t>
            </a:r>
            <a:r>
              <a:rPr lang="en-US" baseline="0"/>
              <a:t> % Female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Snapshots'!$AU$3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Snapshots'!$K$5:$K$6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Snapshots'!$AU$5:$AU$6</c:f>
              <c:numCache>
                <c:formatCode>0.00%</c:formatCode>
                <c:ptCount val="2"/>
                <c:pt idx="0">
                  <c:v>0.49099999999999999</c:v>
                </c:pt>
                <c:pt idx="1">
                  <c:v>0.50900000000000001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7A-438C-9208-87657A3FB10C}"/>
            </c:ext>
          </c:extLst>
        </c:ser>
        <c:ser>
          <c:idx val="1"/>
          <c:order val="1"/>
          <c:tx>
            <c:strRef>
              <c:f>'County Snapshots'!$AV$3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Snapshots'!$K$5:$K$6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Snapshots'!$AV$5:$AV$6</c:f>
              <c:numCache>
                <c:formatCode>0.00%</c:formatCode>
                <c:ptCount val="2"/>
                <c:pt idx="0">
                  <c:v>0.48070000000000002</c:v>
                </c:pt>
                <c:pt idx="1">
                  <c:v>0.51929999999999998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7A-438C-9208-87657A3FB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40672"/>
        <c:axId val="133843072"/>
      </c:barChart>
      <c:catAx>
        <c:axId val="13384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3072"/>
        <c:crosses val="autoZero"/>
        <c:auto val="1"/>
        <c:lblAlgn val="ctr"/>
        <c:lblOffset val="100"/>
        <c:noMultiLvlLbl val="0"/>
      </c:catAx>
      <c:valAx>
        <c:axId val="13384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Male vs</a:t>
            </a:r>
            <a:r>
              <a:rPr lang="en-US" baseline="0"/>
              <a:t> % Female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Snapshots'!$AZ$3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Snapshots'!$K$5:$K$6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Snapshots'!$AZ$5:$AZ$6</c:f>
              <c:numCache>
                <c:formatCode>0.00%</c:formatCode>
                <c:ptCount val="2"/>
                <c:pt idx="0">
                  <c:v>0.51100000000000001</c:v>
                </c:pt>
                <c:pt idx="1">
                  <c:v>0.48899999999999999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4B-4AF1-9CA0-74507D066C29}"/>
            </c:ext>
          </c:extLst>
        </c:ser>
        <c:ser>
          <c:idx val="1"/>
          <c:order val="1"/>
          <c:tx>
            <c:strRef>
              <c:f>'County Snapshots'!$BA$3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Snapshots'!$K$5:$K$6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Snapshots'!$BA$5:$BA$6</c:f>
              <c:numCache>
                <c:formatCode>0.00%</c:formatCode>
                <c:ptCount val="2"/>
                <c:pt idx="0">
                  <c:v>0.44890000000000002</c:v>
                </c:pt>
                <c:pt idx="1">
                  <c:v>0.55110000000000003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4B-4AF1-9CA0-74507D066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40672"/>
        <c:axId val="133843072"/>
      </c:barChart>
      <c:catAx>
        <c:axId val="13384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3072"/>
        <c:crosses val="autoZero"/>
        <c:auto val="1"/>
        <c:lblAlgn val="ctr"/>
        <c:lblOffset val="100"/>
        <c:noMultiLvlLbl val="0"/>
      </c:catAx>
      <c:valAx>
        <c:axId val="13384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Male vs</a:t>
            </a:r>
            <a:r>
              <a:rPr lang="en-US" baseline="0"/>
              <a:t> % Female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Snapshots'!$BE$3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Snapshots'!$K$5:$K$6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Snapshots'!$BE$5:$BE$6</c:f>
              <c:numCache>
                <c:formatCode>0.00%</c:formatCode>
                <c:ptCount val="2"/>
                <c:pt idx="0">
                  <c:v>0.47799999999999998</c:v>
                </c:pt>
                <c:pt idx="1">
                  <c:v>0.52200000000000002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DD-4D0A-AAF3-11022651941C}"/>
            </c:ext>
          </c:extLst>
        </c:ser>
        <c:ser>
          <c:idx val="1"/>
          <c:order val="1"/>
          <c:tx>
            <c:strRef>
              <c:f>'County Snapshots'!$BF$3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Snapshots'!$K$5:$K$6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Snapshots'!$BF$5:$BF$6</c:f>
              <c:numCache>
                <c:formatCode>0.00%</c:formatCode>
                <c:ptCount val="2"/>
                <c:pt idx="0">
                  <c:v>0.46279999999999999</c:v>
                </c:pt>
                <c:pt idx="1">
                  <c:v>0.53720000000000001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DD-4D0A-AAF3-110226519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40672"/>
        <c:axId val="133843072"/>
      </c:barChart>
      <c:catAx>
        <c:axId val="13384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3072"/>
        <c:crosses val="autoZero"/>
        <c:auto val="1"/>
        <c:lblAlgn val="ctr"/>
        <c:lblOffset val="100"/>
        <c:noMultiLvlLbl val="0"/>
      </c:catAx>
      <c:valAx>
        <c:axId val="13384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Male vs</a:t>
            </a:r>
            <a:r>
              <a:rPr lang="en-US" baseline="0"/>
              <a:t> % Female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Snapshots'!$BJ$3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Snapshots'!$K$5:$K$6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Snapshots'!$BJ$5:$BJ$6</c:f>
              <c:numCache>
                <c:formatCode>0.00%</c:formatCode>
                <c:ptCount val="2"/>
                <c:pt idx="0">
                  <c:v>0.47499999999999998</c:v>
                </c:pt>
                <c:pt idx="1">
                  <c:v>0.52500000000000002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B5-4F08-92FE-8EF957607F76}"/>
            </c:ext>
          </c:extLst>
        </c:ser>
        <c:ser>
          <c:idx val="1"/>
          <c:order val="1"/>
          <c:tx>
            <c:strRef>
              <c:f>'County Snapshots'!$BK$3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Snapshots'!$K$5:$K$6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Snapshots'!$BK$5:$BK$6</c:f>
              <c:numCache>
                <c:formatCode>0.00%</c:formatCode>
                <c:ptCount val="2"/>
                <c:pt idx="0">
                  <c:v>0.51480000000000004</c:v>
                </c:pt>
                <c:pt idx="1">
                  <c:v>0.48520000000000002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B5-4F08-92FE-8EF957607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40672"/>
        <c:axId val="133843072"/>
      </c:barChart>
      <c:catAx>
        <c:axId val="13384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3072"/>
        <c:crosses val="autoZero"/>
        <c:auto val="1"/>
        <c:lblAlgn val="ctr"/>
        <c:lblOffset val="100"/>
        <c:noMultiLvlLbl val="0"/>
      </c:catAx>
      <c:valAx>
        <c:axId val="13384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3 Races in District (by county)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Snapshots'!$BJ$3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Snapshots'!$BJ$8:$BJ$10</c:f>
              <c:numCache>
                <c:formatCode>#,##0</c:formatCode>
                <c:ptCount val="3"/>
                <c:pt idx="0">
                  <c:v>4953</c:v>
                </c:pt>
                <c:pt idx="1">
                  <c:v>3721</c:v>
                </c:pt>
                <c:pt idx="2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0-4A7C-BA2F-D290A15FE7F3}"/>
            </c:ext>
          </c:extLst>
        </c:ser>
        <c:ser>
          <c:idx val="1"/>
          <c:order val="1"/>
          <c:tx>
            <c:strRef>
              <c:f>'County Snapshots'!$BK$3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Snapshots'!$BK$8:$BK$10</c:f>
              <c:numCache>
                <c:formatCode>#,##0</c:formatCode>
                <c:ptCount val="3"/>
                <c:pt idx="0">
                  <c:v>5126</c:v>
                </c:pt>
                <c:pt idx="1">
                  <c:v>3869</c:v>
                </c:pt>
                <c:pt idx="2">
                  <c:v>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80-4A7C-BA2F-D290A15FE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228144"/>
        <c:axId val="631236304"/>
      </c:barChart>
      <c:catAx>
        <c:axId val="63122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36304"/>
        <c:crosses val="autoZero"/>
        <c:auto val="1"/>
        <c:lblAlgn val="ctr"/>
        <c:lblOffset val="100"/>
        <c:noMultiLvlLbl val="0"/>
      </c:catAx>
      <c:valAx>
        <c:axId val="6312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2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3 Races in District (by county)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Snapshots'!$BO$3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Snapshots'!$BO$8:$BO$10</c:f>
              <c:numCache>
                <c:formatCode>#,##0</c:formatCode>
                <c:ptCount val="3"/>
                <c:pt idx="0">
                  <c:v>5500388</c:v>
                </c:pt>
                <c:pt idx="1">
                  <c:v>3502283</c:v>
                </c:pt>
                <c:pt idx="2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4-4344-8893-E1338673A51F}"/>
            </c:ext>
          </c:extLst>
        </c:ser>
        <c:ser>
          <c:idx val="1"/>
          <c:order val="1"/>
          <c:tx>
            <c:strRef>
              <c:f>'County Snapshots'!$BP$3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Snapshots'!$BP$8:$BP$10</c:f>
              <c:numCache>
                <c:formatCode>#,##0</c:formatCode>
                <c:ptCount val="3"/>
                <c:pt idx="0">
                  <c:v>5820019</c:v>
                </c:pt>
                <c:pt idx="1">
                  <c:v>3373948</c:v>
                </c:pt>
                <c:pt idx="2">
                  <c:v>638881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64-4344-8893-E1338673A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228144"/>
        <c:axId val="631236304"/>
      </c:barChart>
      <c:catAx>
        <c:axId val="63122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36304"/>
        <c:crosses val="autoZero"/>
        <c:auto val="1"/>
        <c:lblAlgn val="ctr"/>
        <c:lblOffset val="100"/>
        <c:noMultiLvlLbl val="0"/>
      </c:catAx>
      <c:valAx>
        <c:axId val="6312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2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Snapshots'!$BN$4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'County Snapshots'!$BU$4</c:f>
              <c:numCache>
                <c:formatCode>#,##0</c:formatCode>
                <c:ptCount val="1"/>
                <c:pt idx="0">
                  <c:v>331097493</c:v>
                </c:pt>
              </c:numCache>
            </c:numRef>
          </c:cat>
          <c:val>
            <c:numRef>
              <c:f>'County Snapshots'!$BP$4</c:f>
              <c:numCache>
                <c:formatCode>#,##0</c:formatCode>
                <c:ptCount val="1"/>
                <c:pt idx="0">
                  <c:v>10722325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A-4E88-A4A1-79933C4E1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05845616"/>
        <c:axId val="505842736"/>
      </c:barChart>
      <c:catAx>
        <c:axId val="505845616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2736"/>
        <c:crosses val="autoZero"/>
        <c:auto val="1"/>
        <c:lblAlgn val="ctr"/>
        <c:lblOffset val="100"/>
        <c:noMultiLvlLbl val="0"/>
      </c:catAx>
      <c:valAx>
        <c:axId val="50584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4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3 Races in District (by county)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'County Snapshots'!$BU$3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Snapshots'!$A$8:$A$10</c:f>
              <c:strCache>
                <c:ptCount val="3"/>
                <c:pt idx="0">
                  <c:v>White </c:v>
                </c:pt>
                <c:pt idx="1">
                  <c:v>Black</c:v>
                </c:pt>
                <c:pt idx="2">
                  <c:v>Multiracial</c:v>
                </c:pt>
              </c:strCache>
            </c:strRef>
          </c:cat>
          <c:val>
            <c:numRef>
              <c:f>'County Snapshots'!$BU$8:$BU$10</c:f>
              <c:numCache>
                <c:formatCode>#,##0</c:formatCode>
                <c:ptCount val="3"/>
                <c:pt idx="0">
                  <c:v>218123424</c:v>
                </c:pt>
                <c:pt idx="1">
                  <c:v>41288572</c:v>
                </c:pt>
                <c:pt idx="2">
                  <c:v>29142780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6C-4B22-A6CC-07E3B8CE1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228144"/>
        <c:axId val="631236304"/>
      </c:barChart>
      <c:catAx>
        <c:axId val="63122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36304"/>
        <c:crosses val="autoZero"/>
        <c:auto val="1"/>
        <c:lblAlgn val="ctr"/>
        <c:lblOffset val="100"/>
        <c:noMultiLvlLbl val="0"/>
      </c:catAx>
      <c:valAx>
        <c:axId val="6312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2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Male vs</a:t>
            </a:r>
            <a:r>
              <a:rPr lang="en-US" baseline="0"/>
              <a:t> % Female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Snapshots'!$BO$3</c:f>
              <c:strCache>
                <c:ptCount val="1"/>
                <c:pt idx="0">
                  <c:v>County Health Rankings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'County Snapshots'!$K$5:$K$6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Snapshots'!$BO$5:$BO$6</c:f>
              <c:numCache>
                <c:formatCode>0.00%</c:formatCode>
                <c:ptCount val="2"/>
                <c:pt idx="0">
                  <c:v>0.48799999999999999</c:v>
                </c:pt>
                <c:pt idx="1">
                  <c:v>0.51200000000000001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E3-47A1-91BC-7D88BE2502BC}"/>
            </c:ext>
          </c:extLst>
        </c:ser>
        <c:ser>
          <c:idx val="1"/>
          <c:order val="1"/>
          <c:tx>
            <c:strRef>
              <c:f>'County Snapshots'!$BK$3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Snapshots'!$K$5:$K$6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Snapshots'!$BK$5:$BK$6</c:f>
              <c:numCache>
                <c:formatCode>0.00%</c:formatCode>
                <c:ptCount val="2"/>
                <c:pt idx="0">
                  <c:v>0.51480000000000004</c:v>
                </c:pt>
                <c:pt idx="1">
                  <c:v>0.48520000000000002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E3-47A1-91BC-7D88BE250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40672"/>
        <c:axId val="133843072"/>
      </c:barChart>
      <c:catAx>
        <c:axId val="13384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3072"/>
        <c:crosses val="autoZero"/>
        <c:auto val="1"/>
        <c:lblAlgn val="ctr"/>
        <c:lblOffset val="100"/>
        <c:noMultiLvlLbl val="0"/>
      </c:catAx>
      <c:valAx>
        <c:axId val="13384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Male vs</a:t>
            </a:r>
            <a:r>
              <a:rPr lang="en-US" baseline="0"/>
              <a:t> % Female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'County Snapshots'!$BU$3</c:f>
              <c:strCache>
                <c:ptCount val="1"/>
                <c:pt idx="0">
                  <c:v>Gerogia Rural Health Innovation Center (5yr Average)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'County Snapshots'!$K$5:$K$6</c:f>
              <c:strCache>
                <c:ptCount val="2"/>
                <c:pt idx="0">
                  <c:v>% Male</c:v>
                </c:pt>
                <c:pt idx="1">
                  <c:v>% Female</c:v>
                </c:pt>
              </c:strCache>
            </c:strRef>
          </c:cat>
          <c:val>
            <c:numRef>
              <c:f>'County Snapshots'!$BU$5:$BU$6</c:f>
              <c:numCache>
                <c:formatCode>0.00%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DA-4432-AF24-7797215D6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40672"/>
        <c:axId val="133843072"/>
      </c:barChart>
      <c:catAx>
        <c:axId val="13384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3072"/>
        <c:crosses val="autoZero"/>
        <c:auto val="1"/>
        <c:lblAlgn val="ctr"/>
        <c:lblOffset val="100"/>
        <c:noMultiLvlLbl val="0"/>
      </c:catAx>
      <c:valAx>
        <c:axId val="13384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18" Type="http://schemas.openxmlformats.org/officeDocument/2006/relationships/chart" Target="../charts/chart20.xml"/><Relationship Id="rId26" Type="http://schemas.openxmlformats.org/officeDocument/2006/relationships/chart" Target="../charts/chart28.xml"/><Relationship Id="rId3" Type="http://schemas.openxmlformats.org/officeDocument/2006/relationships/chart" Target="../charts/chart5.xml"/><Relationship Id="rId21" Type="http://schemas.openxmlformats.org/officeDocument/2006/relationships/chart" Target="../charts/chart23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17" Type="http://schemas.openxmlformats.org/officeDocument/2006/relationships/chart" Target="../charts/chart19.xml"/><Relationship Id="rId25" Type="http://schemas.openxmlformats.org/officeDocument/2006/relationships/chart" Target="../charts/chart27.xml"/><Relationship Id="rId2" Type="http://schemas.openxmlformats.org/officeDocument/2006/relationships/chart" Target="../charts/chart4.xml"/><Relationship Id="rId16" Type="http://schemas.openxmlformats.org/officeDocument/2006/relationships/chart" Target="../charts/chart18.xml"/><Relationship Id="rId20" Type="http://schemas.openxmlformats.org/officeDocument/2006/relationships/chart" Target="../charts/chart22.xml"/><Relationship Id="rId29" Type="http://schemas.openxmlformats.org/officeDocument/2006/relationships/chart" Target="../charts/chart31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24" Type="http://schemas.openxmlformats.org/officeDocument/2006/relationships/chart" Target="../charts/chart26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23" Type="http://schemas.openxmlformats.org/officeDocument/2006/relationships/chart" Target="../charts/chart25.xml"/><Relationship Id="rId28" Type="http://schemas.openxmlformats.org/officeDocument/2006/relationships/chart" Target="../charts/chart30.xml"/><Relationship Id="rId10" Type="http://schemas.openxmlformats.org/officeDocument/2006/relationships/chart" Target="../charts/chart12.xml"/><Relationship Id="rId19" Type="http://schemas.openxmlformats.org/officeDocument/2006/relationships/chart" Target="../charts/chart21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Relationship Id="rId22" Type="http://schemas.openxmlformats.org/officeDocument/2006/relationships/chart" Target="../charts/chart24.xml"/><Relationship Id="rId27" Type="http://schemas.openxmlformats.org/officeDocument/2006/relationships/chart" Target="../charts/chart29.xml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44.xml"/><Relationship Id="rId18" Type="http://schemas.openxmlformats.org/officeDocument/2006/relationships/chart" Target="../charts/chart49.xml"/><Relationship Id="rId26" Type="http://schemas.openxmlformats.org/officeDocument/2006/relationships/chart" Target="../charts/chart57.xml"/><Relationship Id="rId39" Type="http://schemas.openxmlformats.org/officeDocument/2006/relationships/chart" Target="../charts/chart70.xml"/><Relationship Id="rId21" Type="http://schemas.openxmlformats.org/officeDocument/2006/relationships/chart" Target="../charts/chart52.xml"/><Relationship Id="rId34" Type="http://schemas.openxmlformats.org/officeDocument/2006/relationships/chart" Target="../charts/chart65.xml"/><Relationship Id="rId42" Type="http://schemas.openxmlformats.org/officeDocument/2006/relationships/chart" Target="../charts/chart73.xml"/><Relationship Id="rId7" Type="http://schemas.openxmlformats.org/officeDocument/2006/relationships/chart" Target="../charts/chart38.xml"/><Relationship Id="rId2" Type="http://schemas.openxmlformats.org/officeDocument/2006/relationships/chart" Target="../charts/chart33.xml"/><Relationship Id="rId16" Type="http://schemas.openxmlformats.org/officeDocument/2006/relationships/chart" Target="../charts/chart47.xml"/><Relationship Id="rId29" Type="http://schemas.openxmlformats.org/officeDocument/2006/relationships/chart" Target="../charts/chart60.xml"/><Relationship Id="rId1" Type="http://schemas.openxmlformats.org/officeDocument/2006/relationships/chart" Target="../charts/chart32.xml"/><Relationship Id="rId6" Type="http://schemas.openxmlformats.org/officeDocument/2006/relationships/chart" Target="../charts/chart37.xml"/><Relationship Id="rId11" Type="http://schemas.openxmlformats.org/officeDocument/2006/relationships/chart" Target="../charts/chart42.xml"/><Relationship Id="rId24" Type="http://schemas.openxmlformats.org/officeDocument/2006/relationships/chart" Target="../charts/chart55.xml"/><Relationship Id="rId32" Type="http://schemas.openxmlformats.org/officeDocument/2006/relationships/chart" Target="../charts/chart63.xml"/><Relationship Id="rId37" Type="http://schemas.openxmlformats.org/officeDocument/2006/relationships/chart" Target="../charts/chart68.xml"/><Relationship Id="rId40" Type="http://schemas.openxmlformats.org/officeDocument/2006/relationships/chart" Target="../charts/chart71.xml"/><Relationship Id="rId45" Type="http://schemas.openxmlformats.org/officeDocument/2006/relationships/chart" Target="../charts/chart76.xml"/><Relationship Id="rId5" Type="http://schemas.openxmlformats.org/officeDocument/2006/relationships/chart" Target="../charts/chart36.xml"/><Relationship Id="rId15" Type="http://schemas.openxmlformats.org/officeDocument/2006/relationships/chart" Target="../charts/chart46.xml"/><Relationship Id="rId23" Type="http://schemas.openxmlformats.org/officeDocument/2006/relationships/chart" Target="../charts/chart54.xml"/><Relationship Id="rId28" Type="http://schemas.openxmlformats.org/officeDocument/2006/relationships/chart" Target="../charts/chart59.xml"/><Relationship Id="rId36" Type="http://schemas.openxmlformats.org/officeDocument/2006/relationships/chart" Target="../charts/chart67.xml"/><Relationship Id="rId10" Type="http://schemas.openxmlformats.org/officeDocument/2006/relationships/chart" Target="../charts/chart41.xml"/><Relationship Id="rId19" Type="http://schemas.openxmlformats.org/officeDocument/2006/relationships/chart" Target="../charts/chart50.xml"/><Relationship Id="rId31" Type="http://schemas.openxmlformats.org/officeDocument/2006/relationships/chart" Target="../charts/chart62.xml"/><Relationship Id="rId44" Type="http://schemas.openxmlformats.org/officeDocument/2006/relationships/chart" Target="../charts/chart75.xml"/><Relationship Id="rId4" Type="http://schemas.openxmlformats.org/officeDocument/2006/relationships/chart" Target="../charts/chart35.xml"/><Relationship Id="rId9" Type="http://schemas.openxmlformats.org/officeDocument/2006/relationships/chart" Target="../charts/chart40.xml"/><Relationship Id="rId14" Type="http://schemas.openxmlformats.org/officeDocument/2006/relationships/chart" Target="../charts/chart45.xml"/><Relationship Id="rId22" Type="http://schemas.openxmlformats.org/officeDocument/2006/relationships/chart" Target="../charts/chart53.xml"/><Relationship Id="rId27" Type="http://schemas.openxmlformats.org/officeDocument/2006/relationships/chart" Target="../charts/chart58.xml"/><Relationship Id="rId30" Type="http://schemas.openxmlformats.org/officeDocument/2006/relationships/chart" Target="../charts/chart61.xml"/><Relationship Id="rId35" Type="http://schemas.openxmlformats.org/officeDocument/2006/relationships/chart" Target="../charts/chart66.xml"/><Relationship Id="rId43" Type="http://schemas.openxmlformats.org/officeDocument/2006/relationships/chart" Target="../charts/chart74.xml"/><Relationship Id="rId8" Type="http://schemas.openxmlformats.org/officeDocument/2006/relationships/chart" Target="../charts/chart39.xml"/><Relationship Id="rId3" Type="http://schemas.openxmlformats.org/officeDocument/2006/relationships/chart" Target="../charts/chart34.xml"/><Relationship Id="rId12" Type="http://schemas.openxmlformats.org/officeDocument/2006/relationships/chart" Target="../charts/chart43.xml"/><Relationship Id="rId17" Type="http://schemas.openxmlformats.org/officeDocument/2006/relationships/chart" Target="../charts/chart48.xml"/><Relationship Id="rId25" Type="http://schemas.openxmlformats.org/officeDocument/2006/relationships/chart" Target="../charts/chart56.xml"/><Relationship Id="rId33" Type="http://schemas.openxmlformats.org/officeDocument/2006/relationships/chart" Target="../charts/chart64.xml"/><Relationship Id="rId38" Type="http://schemas.openxmlformats.org/officeDocument/2006/relationships/chart" Target="../charts/chart69.xml"/><Relationship Id="rId20" Type="http://schemas.openxmlformats.org/officeDocument/2006/relationships/chart" Target="../charts/chart51.xml"/><Relationship Id="rId41" Type="http://schemas.openxmlformats.org/officeDocument/2006/relationships/chart" Target="../charts/chart7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489857</xdr:colOff>
      <xdr:row>20</xdr:row>
      <xdr:rowOff>72571</xdr:rowOff>
    </xdr:from>
    <xdr:to>
      <xdr:col>3</xdr:col>
      <xdr:colOff>399144</xdr:colOff>
      <xdr:row>34</xdr:row>
      <xdr:rowOff>56243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1DCDA20-8AB7-29CA-1253-42CCDA6A6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1025071</xdr:colOff>
      <xdr:row>20</xdr:row>
      <xdr:rowOff>90715</xdr:rowOff>
    </xdr:from>
    <xdr:to>
      <xdr:col>6</xdr:col>
      <xdr:colOff>762001</xdr:colOff>
      <xdr:row>34</xdr:row>
      <xdr:rowOff>56242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D2FA604-29E6-9043-7E63-863BF5AA11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146990</xdr:colOff>
      <xdr:row>40</xdr:row>
      <xdr:rowOff>46272</xdr:rowOff>
    </xdr:from>
    <xdr:to>
      <xdr:col>9</xdr:col>
      <xdr:colOff>105833</xdr:colOff>
      <xdr:row>55</xdr:row>
      <xdr:rowOff>74847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36FB7E-1FFF-1053-3419-FE0819A9B41F}"/>
            </a:ext>
            <a:ext uri="{147F2762-F138-4A5C-976F-8EAC2B608ADB}">
              <a16:predDERef xmlns:a16="http://schemas.microsoft.com/office/drawing/2014/main" pred="{AB504F14-FDB9-A34F-C3EC-222980AD6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517859</xdr:colOff>
      <xdr:row>39</xdr:row>
      <xdr:rowOff>150945</xdr:rowOff>
    </xdr:from>
    <xdr:to>
      <xdr:col>15</xdr:col>
      <xdr:colOff>586154</xdr:colOff>
      <xdr:row>62</xdr:row>
      <xdr:rowOff>117231</xdr:rowOff>
    </xdr:to>
    <xdr:graphicFrame macro="">
      <xdr:nvGraphicFramePr>
        <xdr:cNvPr id="35" name="Chart 6">
          <a:extLst>
            <a:ext uri="{FF2B5EF4-FFF2-40B4-BE49-F238E27FC236}">
              <a16:creationId xmlns:a16="http://schemas.microsoft.com/office/drawing/2014/main" id="{364E4BE0-DB3F-BF16-4DC5-749658672C53}"/>
            </a:ext>
            <a:ext uri="{147F2762-F138-4A5C-976F-8EAC2B608ADB}">
              <a16:predDERef xmlns:a16="http://schemas.microsoft.com/office/drawing/2014/main" pred="{AC36FB7E-1FFF-1053-3419-FE0819A9B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</xdr:colOff>
      <xdr:row>57</xdr:row>
      <xdr:rowOff>23813</xdr:rowOff>
    </xdr:from>
    <xdr:to>
      <xdr:col>9</xdr:col>
      <xdr:colOff>117593</xdr:colOff>
      <xdr:row>72</xdr:row>
      <xdr:rowOff>52388</xdr:rowOff>
    </xdr:to>
    <xdr:graphicFrame macro="">
      <xdr:nvGraphicFramePr>
        <xdr:cNvPr id="34" name="Chart 7">
          <a:extLst>
            <a:ext uri="{FF2B5EF4-FFF2-40B4-BE49-F238E27FC236}">
              <a16:creationId xmlns:a16="http://schemas.microsoft.com/office/drawing/2014/main" id="{2A12EF51-A31F-35D8-86DE-6E0BF0CB4A70}"/>
            </a:ext>
            <a:ext uri="{147F2762-F138-4A5C-976F-8EAC2B608ADB}">
              <a16:predDERef xmlns:a16="http://schemas.microsoft.com/office/drawing/2014/main" pred="{364E4BE0-DB3F-BF16-4DC5-749658672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</xdr:row>
      <xdr:rowOff>17663</xdr:rowOff>
    </xdr:from>
    <xdr:to>
      <xdr:col>7</xdr:col>
      <xdr:colOff>383444</xdr:colOff>
      <xdr:row>21</xdr:row>
      <xdr:rowOff>85675</xdr:rowOff>
    </xdr:to>
    <xdr:graphicFrame macro="">
      <xdr:nvGraphicFramePr>
        <xdr:cNvPr id="47" name="Chart 2">
          <a:extLst>
            <a:ext uri="{FF2B5EF4-FFF2-40B4-BE49-F238E27FC236}">
              <a16:creationId xmlns:a16="http://schemas.microsoft.com/office/drawing/2014/main" id="{E1A40E09-36D2-495F-1FCF-5FDA997024BC}"/>
            </a:ext>
            <a:ext uri="{147F2762-F138-4A5C-976F-8EAC2B608ADB}">
              <a16:predDERef xmlns:a16="http://schemas.microsoft.com/office/drawing/2014/main" pred="{2A12EF51-A31F-35D8-86DE-6E0BF0CB4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59</xdr:col>
      <xdr:colOff>283148</xdr:colOff>
      <xdr:row>0</xdr:row>
      <xdr:rowOff>102749</xdr:rowOff>
    </xdr:from>
    <xdr:to>
      <xdr:col>69</xdr:col>
      <xdr:colOff>473650</xdr:colOff>
      <xdr:row>23</xdr:row>
      <xdr:rowOff>170510</xdr:rowOff>
    </xdr:to>
    <xdr:graphicFrame macro="">
      <xdr:nvGraphicFramePr>
        <xdr:cNvPr id="63" name="Chart 3">
          <a:extLst>
            <a:ext uri="{FF2B5EF4-FFF2-40B4-BE49-F238E27FC236}">
              <a16:creationId xmlns:a16="http://schemas.microsoft.com/office/drawing/2014/main" id="{88A5D137-FBE8-2B8E-F70A-132C04CDACF3}"/>
            </a:ext>
            <a:ext uri="{147F2762-F138-4A5C-976F-8EAC2B608ADB}">
              <a16:predDERef xmlns:a16="http://schemas.microsoft.com/office/drawing/2014/main" pred="{E1A40E09-36D2-495F-1FCF-5FDA99702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94074</xdr:colOff>
      <xdr:row>23</xdr:row>
      <xdr:rowOff>96619</xdr:rowOff>
    </xdr:from>
    <xdr:to>
      <xdr:col>9</xdr:col>
      <xdr:colOff>382176</xdr:colOff>
      <xdr:row>36</xdr:row>
      <xdr:rowOff>1422870</xdr:rowOff>
    </xdr:to>
    <xdr:graphicFrame macro="">
      <xdr:nvGraphicFramePr>
        <xdr:cNvPr id="40" name="Chart 8">
          <a:extLst>
            <a:ext uri="{FF2B5EF4-FFF2-40B4-BE49-F238E27FC236}">
              <a16:creationId xmlns:a16="http://schemas.microsoft.com/office/drawing/2014/main" id="{F228BFB2-729C-5844-A15E-AD16B353BF02}"/>
            </a:ext>
            <a:ext uri="{147F2762-F138-4A5C-976F-8EAC2B608ADB}">
              <a16:predDERef xmlns:a16="http://schemas.microsoft.com/office/drawing/2014/main" pred="{88A5D137-FBE8-2B8E-F70A-132C04CDA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70</xdr:col>
      <xdr:colOff>5918</xdr:colOff>
      <xdr:row>3</xdr:row>
      <xdr:rowOff>101369</xdr:rowOff>
    </xdr:from>
    <xdr:to>
      <xdr:col>79</xdr:col>
      <xdr:colOff>225776</xdr:colOff>
      <xdr:row>27</xdr:row>
      <xdr:rowOff>168573</xdr:rowOff>
    </xdr:to>
    <xdr:graphicFrame macro="">
      <xdr:nvGraphicFramePr>
        <xdr:cNvPr id="61" name="Chart 10">
          <a:extLst>
            <a:ext uri="{FF2B5EF4-FFF2-40B4-BE49-F238E27FC236}">
              <a16:creationId xmlns:a16="http://schemas.microsoft.com/office/drawing/2014/main" id="{A49972A5-96DE-86A3-0701-B5B4AED9D8DC}"/>
            </a:ext>
            <a:ext uri="{147F2762-F138-4A5C-976F-8EAC2B608ADB}">
              <a16:predDERef xmlns:a16="http://schemas.microsoft.com/office/drawing/2014/main" pred="{51526FB6-C9E0-D21E-3F45-B869CD07C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223243</xdr:colOff>
      <xdr:row>89</xdr:row>
      <xdr:rowOff>102616</xdr:rowOff>
    </xdr:from>
    <xdr:to>
      <xdr:col>8</xdr:col>
      <xdr:colOff>393934</xdr:colOff>
      <xdr:row>113</xdr:row>
      <xdr:rowOff>148339</xdr:rowOff>
    </xdr:to>
    <xdr:graphicFrame macro="">
      <xdr:nvGraphicFramePr>
        <xdr:cNvPr id="32" name="Chart 11">
          <a:extLst>
            <a:ext uri="{FF2B5EF4-FFF2-40B4-BE49-F238E27FC236}">
              <a16:creationId xmlns:a16="http://schemas.microsoft.com/office/drawing/2014/main" id="{E1AC1055-58CB-3E88-F1DD-471EF80C64E2}"/>
            </a:ext>
            <a:ext uri="{147F2762-F138-4A5C-976F-8EAC2B608ADB}">
              <a16:predDERef xmlns:a16="http://schemas.microsoft.com/office/drawing/2014/main" pred="{A49972A5-96DE-86A3-0701-B5B4AED9D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241111</xdr:colOff>
      <xdr:row>72</xdr:row>
      <xdr:rowOff>162040</xdr:rowOff>
    </xdr:from>
    <xdr:to>
      <xdr:col>8</xdr:col>
      <xdr:colOff>311620</xdr:colOff>
      <xdr:row>87</xdr:row>
      <xdr:rowOff>151023</xdr:rowOff>
    </xdr:to>
    <xdr:graphicFrame macro="">
      <xdr:nvGraphicFramePr>
        <xdr:cNvPr id="9" name="Chart 13">
          <a:extLst>
            <a:ext uri="{FF2B5EF4-FFF2-40B4-BE49-F238E27FC236}">
              <a16:creationId xmlns:a16="http://schemas.microsoft.com/office/drawing/2014/main" id="{BC2C3550-F22C-491E-92BB-DDC0AE44B49D}"/>
            </a:ext>
            <a:ext uri="{147F2762-F138-4A5C-976F-8EAC2B608ADB}">
              <a16:predDERef xmlns:a16="http://schemas.microsoft.com/office/drawing/2014/main" pred="{E1AC1055-58CB-3E88-F1DD-471EF80C6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203019</xdr:colOff>
      <xdr:row>114</xdr:row>
      <xdr:rowOff>39036</xdr:rowOff>
    </xdr:from>
    <xdr:to>
      <xdr:col>9</xdr:col>
      <xdr:colOff>411757</xdr:colOff>
      <xdr:row>121</xdr:row>
      <xdr:rowOff>1369219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E139527-C806-404C-BA61-E982995B9DF2}"/>
            </a:ext>
            <a:ext uri="{147F2762-F138-4A5C-976F-8EAC2B608ADB}">
              <a16:predDERef xmlns:a16="http://schemas.microsoft.com/office/drawing/2014/main" pred="{BC2C3550-F22C-491E-92BB-DDC0AE44B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239776</xdr:colOff>
      <xdr:row>65</xdr:row>
      <xdr:rowOff>134544</xdr:rowOff>
    </xdr:from>
    <xdr:to>
      <xdr:col>18</xdr:col>
      <xdr:colOff>651711</xdr:colOff>
      <xdr:row>86</xdr:row>
      <xdr:rowOff>116974</xdr:rowOff>
    </xdr:to>
    <xdr:graphicFrame macro="">
      <xdr:nvGraphicFramePr>
        <xdr:cNvPr id="87" name="Chart 15">
          <a:extLst>
            <a:ext uri="{FF2B5EF4-FFF2-40B4-BE49-F238E27FC236}">
              <a16:creationId xmlns:a16="http://schemas.microsoft.com/office/drawing/2014/main" id="{E9B095B6-200F-B9FF-B67F-2713F2D9B7CC}"/>
            </a:ext>
            <a:ext uri="{147F2762-F138-4A5C-976F-8EAC2B608ADB}">
              <a16:predDERef xmlns:a16="http://schemas.microsoft.com/office/drawing/2014/main" pred="{FE139527-C806-404C-BA61-E982995B9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122</xdr:col>
      <xdr:colOff>396308</xdr:colOff>
      <xdr:row>20</xdr:row>
      <xdr:rowOff>71607</xdr:rowOff>
    </xdr:from>
    <xdr:to>
      <xdr:col>129</xdr:col>
      <xdr:colOff>426073</xdr:colOff>
      <xdr:row>35</xdr:row>
      <xdr:rowOff>135901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4B4E89A8-F4F0-CDF1-513C-D2BC000E5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145379</xdr:colOff>
      <xdr:row>124</xdr:row>
      <xdr:rowOff>163932</xdr:rowOff>
    </xdr:from>
    <xdr:to>
      <xdr:col>9</xdr:col>
      <xdr:colOff>212754</xdr:colOff>
      <xdr:row>142</xdr:row>
      <xdr:rowOff>73974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A4C7AD1-C35A-3065-9275-730E7CB22DA4}"/>
            </a:ext>
            <a:ext uri="{147F2762-F138-4A5C-976F-8EAC2B608ADB}">
              <a16:predDERef xmlns:a16="http://schemas.microsoft.com/office/drawing/2014/main" pred="{4B4E89A8-F4F0-CDF1-513C-D2BC000E5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52918</xdr:colOff>
      <xdr:row>1</xdr:row>
      <xdr:rowOff>88844</xdr:rowOff>
    </xdr:from>
    <xdr:to>
      <xdr:col>22</xdr:col>
      <xdr:colOff>570325</xdr:colOff>
      <xdr:row>16</xdr:row>
      <xdr:rowOff>26923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4A3FA67-2439-D500-097F-AB79E1412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22</xdr:col>
      <xdr:colOff>590704</xdr:colOff>
      <xdr:row>1</xdr:row>
      <xdr:rowOff>48426</xdr:rowOff>
    </xdr:from>
    <xdr:to>
      <xdr:col>30</xdr:col>
      <xdr:colOff>28730</xdr:colOff>
      <xdr:row>16</xdr:row>
      <xdr:rowOff>51148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E70465C-B923-02D8-BD3A-DA8D7A4592CF}"/>
            </a:ext>
            <a:ext uri="{147F2762-F138-4A5C-976F-8EAC2B608ADB}">
              <a16:predDERef xmlns:a16="http://schemas.microsoft.com/office/drawing/2014/main" pred="{94A3FA67-2439-D500-097F-AB79E1412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30</xdr:col>
      <xdr:colOff>153460</xdr:colOff>
      <xdr:row>1</xdr:row>
      <xdr:rowOff>27816</xdr:rowOff>
    </xdr:from>
    <xdr:to>
      <xdr:col>38</xdr:col>
      <xdr:colOff>164629</xdr:colOff>
      <xdr:row>16</xdr:row>
      <xdr:rowOff>31948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20017ED-8A84-5C12-3BE0-CF30FCEE4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</xdr:col>
      <xdr:colOff>150368</xdr:colOff>
      <xdr:row>18</xdr:row>
      <xdr:rowOff>63607</xdr:rowOff>
    </xdr:from>
    <xdr:to>
      <xdr:col>23</xdr:col>
      <xdr:colOff>229305</xdr:colOff>
      <xdr:row>33</xdr:row>
      <xdr:rowOff>85379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EA39306-57B5-2FC5-9D3A-0BF2D2A1E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31</xdr:col>
      <xdr:colOff>372800</xdr:colOff>
      <xdr:row>18</xdr:row>
      <xdr:rowOff>43450</xdr:rowOff>
    </xdr:from>
    <xdr:to>
      <xdr:col>39</xdr:col>
      <xdr:colOff>58795</xdr:colOff>
      <xdr:row>33</xdr:row>
      <xdr:rowOff>65221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CF7B785A-670D-9AE9-CBB2-227417825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23</xdr:col>
      <xdr:colOff>366985</xdr:colOff>
      <xdr:row>18</xdr:row>
      <xdr:rowOff>38470</xdr:rowOff>
    </xdr:from>
    <xdr:to>
      <xdr:col>31</xdr:col>
      <xdr:colOff>211666</xdr:colOff>
      <xdr:row>33</xdr:row>
      <xdr:rowOff>63212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EE141DC2-3BEC-26A8-8C71-1FF717CA1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38</xdr:col>
      <xdr:colOff>486848</xdr:colOff>
      <xdr:row>0</xdr:row>
      <xdr:rowOff>15363</xdr:rowOff>
    </xdr:from>
    <xdr:to>
      <xdr:col>48</xdr:col>
      <xdr:colOff>272405</xdr:colOff>
      <xdr:row>18</xdr:row>
      <xdr:rowOff>172941</xdr:rowOff>
    </xdr:to>
    <xdr:graphicFrame macro="">
      <xdr:nvGraphicFramePr>
        <xdr:cNvPr id="57" name="Chart 23">
          <a:extLst>
            <a:ext uri="{FF2B5EF4-FFF2-40B4-BE49-F238E27FC236}">
              <a16:creationId xmlns:a16="http://schemas.microsoft.com/office/drawing/2014/main" id="{EE8F5A1B-6732-5956-5244-9146952734F4}"/>
            </a:ext>
            <a:ext uri="{147F2762-F138-4A5C-976F-8EAC2B608ADB}">
              <a16:predDERef xmlns:a16="http://schemas.microsoft.com/office/drawing/2014/main" pred="{EE141DC2-3BEC-26A8-8C71-1FF717CA1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39</xdr:col>
      <xdr:colOff>345346</xdr:colOff>
      <xdr:row>20</xdr:row>
      <xdr:rowOff>57043</xdr:rowOff>
    </xdr:from>
    <xdr:to>
      <xdr:col>48</xdr:col>
      <xdr:colOff>190501</xdr:colOff>
      <xdr:row>36</xdr:row>
      <xdr:rowOff>730250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1EE26A06-916E-A683-AF87-3AF15CBE5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48</xdr:col>
      <xdr:colOff>353005</xdr:colOff>
      <xdr:row>8</xdr:row>
      <xdr:rowOff>19251</xdr:rowOff>
    </xdr:from>
    <xdr:to>
      <xdr:col>59</xdr:col>
      <xdr:colOff>188500</xdr:colOff>
      <xdr:row>34</xdr:row>
      <xdr:rowOff>6532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CD7BAFF1-6AE0-47C6-09CA-48159C3AF071}"/>
            </a:ext>
            <a:ext uri="{147F2762-F138-4A5C-976F-8EAC2B608ADB}">
              <a16:predDERef xmlns:a16="http://schemas.microsoft.com/office/drawing/2014/main" pred="{1EE26A06-916E-A683-AF87-3AF15CBE5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9</xdr:col>
      <xdr:colOff>613566</xdr:colOff>
      <xdr:row>22</xdr:row>
      <xdr:rowOff>7682</xdr:rowOff>
    </xdr:from>
    <xdr:to>
      <xdr:col>14</xdr:col>
      <xdr:colOff>599721</xdr:colOff>
      <xdr:row>37</xdr:row>
      <xdr:rowOff>36258</xdr:rowOff>
    </xdr:to>
    <xdr:graphicFrame macro="">
      <xdr:nvGraphicFramePr>
        <xdr:cNvPr id="38" name="Chart 1">
          <a:extLst>
            <a:ext uri="{FF2B5EF4-FFF2-40B4-BE49-F238E27FC236}">
              <a16:creationId xmlns:a16="http://schemas.microsoft.com/office/drawing/2014/main" id="{AB504F14-FDB9-A34F-C3EC-222980AD6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</xdr:col>
      <xdr:colOff>612656</xdr:colOff>
      <xdr:row>2</xdr:row>
      <xdr:rowOff>162981</xdr:rowOff>
    </xdr:from>
    <xdr:to>
      <xdr:col>13</xdr:col>
      <xdr:colOff>182267</xdr:colOff>
      <xdr:row>19</xdr:row>
      <xdr:rowOff>135230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51DDBCEF-3A09-D19D-B0A1-E64C6D19AEEE}"/>
            </a:ext>
            <a:ext uri="{147F2762-F138-4A5C-976F-8EAC2B608ADB}">
              <a16:predDERef xmlns:a16="http://schemas.microsoft.com/office/drawing/2014/main" pred="{AB504F14-FDB9-A34F-C3EC-222980AD6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19</xdr:col>
      <xdr:colOff>484606</xdr:colOff>
      <xdr:row>65</xdr:row>
      <xdr:rowOff>179286</xdr:rowOff>
    </xdr:from>
    <xdr:to>
      <xdr:col>28</xdr:col>
      <xdr:colOff>50837</xdr:colOff>
      <xdr:row>83</xdr:row>
      <xdr:rowOff>100263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5ABB83-5846-4F6E-8EF8-4AAF95B3F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9</xdr:col>
      <xdr:colOff>528977</xdr:colOff>
      <xdr:row>88</xdr:row>
      <xdr:rowOff>183528</xdr:rowOff>
    </xdr:from>
    <xdr:to>
      <xdr:col>14</xdr:col>
      <xdr:colOff>33421</xdr:colOff>
      <xdr:row>109</xdr:row>
      <xdr:rowOff>150394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ECA7670-CB6D-468B-8E64-C1DD46819509}"/>
            </a:ext>
            <a:ext uri="{147F2762-F138-4A5C-976F-8EAC2B608ADB}">
              <a16:predDERef xmlns:a16="http://schemas.microsoft.com/office/drawing/2014/main" pred="{945ABB83-5846-4F6E-8EF8-4AAF95B3F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60</xdr:col>
      <xdr:colOff>16476</xdr:colOff>
      <xdr:row>25</xdr:row>
      <xdr:rowOff>131578</xdr:rowOff>
    </xdr:from>
    <xdr:to>
      <xdr:col>68</xdr:col>
      <xdr:colOff>73510</xdr:colOff>
      <xdr:row>40</xdr:row>
      <xdr:rowOff>44462</xdr:rowOff>
    </xdr:to>
    <xdr:graphicFrame macro="">
      <xdr:nvGraphicFramePr>
        <xdr:cNvPr id="11" name="Chart 63">
          <a:extLst>
            <a:ext uri="{FF2B5EF4-FFF2-40B4-BE49-F238E27FC236}">
              <a16:creationId xmlns:a16="http://schemas.microsoft.com/office/drawing/2014/main" id="{F628328F-8732-6ABC-7856-108E770ABA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16</xdr:col>
      <xdr:colOff>26493</xdr:colOff>
      <xdr:row>38</xdr:row>
      <xdr:rowOff>42352</xdr:rowOff>
    </xdr:from>
    <xdr:to>
      <xdr:col>26</xdr:col>
      <xdr:colOff>24782</xdr:colOff>
      <xdr:row>59</xdr:row>
      <xdr:rowOff>93790</xdr:rowOff>
    </xdr:to>
    <xdr:graphicFrame macro="">
      <xdr:nvGraphicFramePr>
        <xdr:cNvPr id="16" name="Chart 2">
          <a:extLst>
            <a:ext uri="{FF2B5EF4-FFF2-40B4-BE49-F238E27FC236}">
              <a16:creationId xmlns:a16="http://schemas.microsoft.com/office/drawing/2014/main" id="{7351AB5B-2DB3-57F7-15F7-7B2F34E92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9</xdr:col>
      <xdr:colOff>618291</xdr:colOff>
      <xdr:row>110</xdr:row>
      <xdr:rowOff>434472</xdr:rowOff>
    </xdr:from>
    <xdr:to>
      <xdr:col>17</xdr:col>
      <xdr:colOff>273720</xdr:colOff>
      <xdr:row>123</xdr:row>
      <xdr:rowOff>2170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7693BF-6F1F-49B1-9754-637EEF7B7CAE}"/>
            </a:ext>
            <a:ext uri="{147F2762-F138-4A5C-976F-8EAC2B608ADB}">
              <a16:predDERef xmlns:a16="http://schemas.microsoft.com/office/drawing/2014/main" pred="{338F14EC-6032-4F0C-BABF-6C2CFB49DC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130331</xdr:colOff>
      <xdr:row>38</xdr:row>
      <xdr:rowOff>33230</xdr:rowOff>
    </xdr:from>
    <xdr:to>
      <xdr:col>3</xdr:col>
      <xdr:colOff>5315</xdr:colOff>
      <xdr:row>51</xdr:row>
      <xdr:rowOff>76542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DD2FA5-BB2F-1411-430C-F5193AE99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595313</xdr:colOff>
      <xdr:row>37</xdr:row>
      <xdr:rowOff>163711</xdr:rowOff>
    </xdr:from>
    <xdr:to>
      <xdr:col>7</xdr:col>
      <xdr:colOff>1229321</xdr:colOff>
      <xdr:row>51</xdr:row>
      <xdr:rowOff>28428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E5A2A4-5F0D-4FD7-88CA-419794CE0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38</xdr:row>
      <xdr:rowOff>0</xdr:rowOff>
    </xdr:from>
    <xdr:to>
      <xdr:col>12</xdr:col>
      <xdr:colOff>1273969</xdr:colOff>
      <xdr:row>51</xdr:row>
      <xdr:rowOff>43310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4B8D46-7A31-4252-931D-F984AD3F0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39</xdr:row>
      <xdr:rowOff>0</xdr:rowOff>
    </xdr:from>
    <xdr:to>
      <xdr:col>17</xdr:col>
      <xdr:colOff>1273968</xdr:colOff>
      <xdr:row>52</xdr:row>
      <xdr:rowOff>43310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D96897-8544-4D30-AA39-C6BFD5A26A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632519</xdr:colOff>
      <xdr:row>37</xdr:row>
      <xdr:rowOff>111620</xdr:rowOff>
    </xdr:from>
    <xdr:to>
      <xdr:col>22</xdr:col>
      <xdr:colOff>1266526</xdr:colOff>
      <xdr:row>50</xdr:row>
      <xdr:rowOff>154931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4F4960D-FCDF-4AF2-B955-9868CEC80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0</xdr:colOff>
      <xdr:row>38</xdr:row>
      <xdr:rowOff>0</xdr:rowOff>
    </xdr:from>
    <xdr:to>
      <xdr:col>27</xdr:col>
      <xdr:colOff>1273968</xdr:colOff>
      <xdr:row>51</xdr:row>
      <xdr:rowOff>43310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C9C7580-F6B6-4A9E-8AC3-5729E7F5E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14883</xdr:colOff>
      <xdr:row>38</xdr:row>
      <xdr:rowOff>1</xdr:rowOff>
    </xdr:from>
    <xdr:to>
      <xdr:col>32</xdr:col>
      <xdr:colOff>1288852</xdr:colOff>
      <xdr:row>51</xdr:row>
      <xdr:rowOff>43311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68721EE-0CDC-4038-93FA-80DED9A7C2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35</xdr:col>
      <xdr:colOff>0</xdr:colOff>
      <xdr:row>37</xdr:row>
      <xdr:rowOff>0</xdr:rowOff>
    </xdr:from>
    <xdr:to>
      <xdr:col>37</xdr:col>
      <xdr:colOff>1273968</xdr:colOff>
      <xdr:row>50</xdr:row>
      <xdr:rowOff>43311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D020B43-E6A0-42A6-99F1-19C868817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40</xdr:col>
      <xdr:colOff>0</xdr:colOff>
      <xdr:row>37</xdr:row>
      <xdr:rowOff>0</xdr:rowOff>
    </xdr:from>
    <xdr:to>
      <xdr:col>42</xdr:col>
      <xdr:colOff>1273969</xdr:colOff>
      <xdr:row>50</xdr:row>
      <xdr:rowOff>43311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096F2DE-BD32-4F9B-BABC-0DB1D8E8B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0</xdr:colOff>
      <xdr:row>37</xdr:row>
      <xdr:rowOff>0</xdr:rowOff>
    </xdr:from>
    <xdr:to>
      <xdr:col>47</xdr:col>
      <xdr:colOff>1273969</xdr:colOff>
      <xdr:row>50</xdr:row>
      <xdr:rowOff>43311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63D8AFD-F605-469F-9278-29F0C1148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50</xdr:col>
      <xdr:colOff>0</xdr:colOff>
      <xdr:row>37</xdr:row>
      <xdr:rowOff>0</xdr:rowOff>
    </xdr:from>
    <xdr:to>
      <xdr:col>52</xdr:col>
      <xdr:colOff>1273969</xdr:colOff>
      <xdr:row>50</xdr:row>
      <xdr:rowOff>43311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A1FB6D4-DEF6-4F25-9B44-479DFA1A7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55</xdr:col>
      <xdr:colOff>0</xdr:colOff>
      <xdr:row>37</xdr:row>
      <xdr:rowOff>0</xdr:rowOff>
    </xdr:from>
    <xdr:to>
      <xdr:col>57</xdr:col>
      <xdr:colOff>1273496</xdr:colOff>
      <xdr:row>50</xdr:row>
      <xdr:rowOff>43311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3C1AF88-DBBF-4DEE-9752-42679A4CA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60</xdr:col>
      <xdr:colOff>0</xdr:colOff>
      <xdr:row>38</xdr:row>
      <xdr:rowOff>0</xdr:rowOff>
    </xdr:from>
    <xdr:to>
      <xdr:col>62</xdr:col>
      <xdr:colOff>1276259</xdr:colOff>
      <xdr:row>51</xdr:row>
      <xdr:rowOff>43311</xdr:rowOff>
    </xdr:to>
    <xdr:graphicFrame macro="">
      <xdr:nvGraphicFramePr>
        <xdr:cNvPr id="18" name="Chart 15">
          <a:extLst>
            <a:ext uri="{FF2B5EF4-FFF2-40B4-BE49-F238E27FC236}">
              <a16:creationId xmlns:a16="http://schemas.microsoft.com/office/drawing/2014/main" id="{F3162183-25B0-4ECB-AB1F-5B9C0011FB18}"/>
            </a:ext>
            <a:ext uri="{147F2762-F138-4A5C-976F-8EAC2B608ADB}">
              <a16:predDERef xmlns:a16="http://schemas.microsoft.com/office/drawing/2014/main" pred="{43C1AF88-DBBF-4DEE-9752-42679A4CA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65</xdr:col>
      <xdr:colOff>0</xdr:colOff>
      <xdr:row>38</xdr:row>
      <xdr:rowOff>0</xdr:rowOff>
    </xdr:from>
    <xdr:to>
      <xdr:col>67</xdr:col>
      <xdr:colOff>1276259</xdr:colOff>
      <xdr:row>51</xdr:row>
      <xdr:rowOff>43311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C2B7699-7609-4DD7-A9A9-72F91B699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204808</xdr:colOff>
      <xdr:row>54</xdr:row>
      <xdr:rowOff>16124</xdr:rowOff>
    </xdr:from>
    <xdr:to>
      <xdr:col>3</xdr:col>
      <xdr:colOff>95551</xdr:colOff>
      <xdr:row>69</xdr:row>
      <xdr:rowOff>29013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64CACC67-D615-8ED5-BA73-7EF044E8F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0</xdr:colOff>
      <xdr:row>54</xdr:row>
      <xdr:rowOff>0</xdr:rowOff>
    </xdr:from>
    <xdr:to>
      <xdr:col>7</xdr:col>
      <xdr:colOff>1291478</xdr:colOff>
      <xdr:row>69</xdr:row>
      <xdr:rowOff>12887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158ADCC7-8C71-405D-A9B3-A2793B7F84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0</xdr:colOff>
      <xdr:row>54</xdr:row>
      <xdr:rowOff>0</xdr:rowOff>
    </xdr:from>
    <xdr:to>
      <xdr:col>12</xdr:col>
      <xdr:colOff>1291478</xdr:colOff>
      <xdr:row>69</xdr:row>
      <xdr:rowOff>12887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FCD0111D-EFB6-4B91-AE0B-6073DCD7B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15</xdr:col>
      <xdr:colOff>56030</xdr:colOff>
      <xdr:row>53</xdr:row>
      <xdr:rowOff>7003</xdr:rowOff>
    </xdr:from>
    <xdr:to>
      <xdr:col>17</xdr:col>
      <xdr:colOff>1347508</xdr:colOff>
      <xdr:row>68</xdr:row>
      <xdr:rowOff>19890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B9FD7A92-7D32-4E65-AEB6-06E18E1022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20</xdr:col>
      <xdr:colOff>0</xdr:colOff>
      <xdr:row>53</xdr:row>
      <xdr:rowOff>0</xdr:rowOff>
    </xdr:from>
    <xdr:to>
      <xdr:col>22</xdr:col>
      <xdr:colOff>1291477</xdr:colOff>
      <xdr:row>68</xdr:row>
      <xdr:rowOff>12886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6B1BD19F-2F82-4EAE-8F61-2DA970BA3C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25</xdr:col>
      <xdr:colOff>0</xdr:colOff>
      <xdr:row>53</xdr:row>
      <xdr:rowOff>0</xdr:rowOff>
    </xdr:from>
    <xdr:to>
      <xdr:col>27</xdr:col>
      <xdr:colOff>1291477</xdr:colOff>
      <xdr:row>68</xdr:row>
      <xdr:rowOff>12886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28D919B8-290A-454F-B438-189AC8722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30</xdr:col>
      <xdr:colOff>8504</xdr:colOff>
      <xdr:row>53</xdr:row>
      <xdr:rowOff>0</xdr:rowOff>
    </xdr:from>
    <xdr:to>
      <xdr:col>32</xdr:col>
      <xdr:colOff>1299981</xdr:colOff>
      <xdr:row>68</xdr:row>
      <xdr:rowOff>12886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3B08C271-ACE7-4E2A-9E34-69C6D1E64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51</xdr:col>
      <xdr:colOff>869836</xdr:colOff>
      <xdr:row>23</xdr:row>
      <xdr:rowOff>122805</xdr:rowOff>
    </xdr:from>
    <xdr:to>
      <xdr:col>55</xdr:col>
      <xdr:colOff>1158127</xdr:colOff>
      <xdr:row>30</xdr:row>
      <xdr:rowOff>545266</xdr:rowOff>
    </xdr:to>
    <xdr:graphicFrame macro="">
      <xdr:nvGraphicFramePr>
        <xdr:cNvPr id="4" name="Chart 44">
          <a:extLst>
            <a:ext uri="{FF2B5EF4-FFF2-40B4-BE49-F238E27FC236}">
              <a16:creationId xmlns:a16="http://schemas.microsoft.com/office/drawing/2014/main" id="{B65D42B9-B551-45EF-B8B9-BE9E4DC753E1}"/>
            </a:ext>
            <a:ext uri="{147F2762-F138-4A5C-976F-8EAC2B608ADB}">
              <a16:predDERef xmlns:a16="http://schemas.microsoft.com/office/drawing/2014/main" pred="{3B08C271-ACE7-4E2A-9E34-69C6D1E64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40</xdr:col>
      <xdr:colOff>76540</xdr:colOff>
      <xdr:row>52</xdr:row>
      <xdr:rowOff>161584</xdr:rowOff>
    </xdr:from>
    <xdr:to>
      <xdr:col>42</xdr:col>
      <xdr:colOff>1368019</xdr:colOff>
      <xdr:row>67</xdr:row>
      <xdr:rowOff>174472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4133DA55-5A67-4CBE-8401-024CB9F76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45</xdr:col>
      <xdr:colOff>8504</xdr:colOff>
      <xdr:row>51</xdr:row>
      <xdr:rowOff>144576</xdr:rowOff>
    </xdr:from>
    <xdr:to>
      <xdr:col>47</xdr:col>
      <xdr:colOff>1299983</xdr:colOff>
      <xdr:row>66</xdr:row>
      <xdr:rowOff>157462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DB6474B6-635F-4937-93C4-6EFEEC6CA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49</xdr:col>
      <xdr:colOff>527956</xdr:colOff>
      <xdr:row>52</xdr:row>
      <xdr:rowOff>178423</xdr:rowOff>
    </xdr:from>
    <xdr:to>
      <xdr:col>52</xdr:col>
      <xdr:colOff>1209835</xdr:colOff>
      <xdr:row>68</xdr:row>
      <xdr:rowOff>12715</xdr:rowOff>
    </xdr:to>
    <xdr:graphicFrame macro="">
      <xdr:nvGraphicFramePr>
        <xdr:cNvPr id="21" name="Chart 47">
          <a:extLst>
            <a:ext uri="{FF2B5EF4-FFF2-40B4-BE49-F238E27FC236}">
              <a16:creationId xmlns:a16="http://schemas.microsoft.com/office/drawing/2014/main" id="{B2D25012-FC95-4C4C-8C62-C8804CFAD8C2}"/>
            </a:ext>
            <a:ext uri="{147F2762-F138-4A5C-976F-8EAC2B608ADB}">
              <a16:predDERef xmlns:a16="http://schemas.microsoft.com/office/drawing/2014/main" pred="{DB6474B6-635F-4937-93C4-6EFEEC6CA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55</xdr:col>
      <xdr:colOff>27384</xdr:colOff>
      <xdr:row>52</xdr:row>
      <xdr:rowOff>17860</xdr:rowOff>
    </xdr:from>
    <xdr:to>
      <xdr:col>57</xdr:col>
      <xdr:colOff>1373632</xdr:colOff>
      <xdr:row>67</xdr:row>
      <xdr:rowOff>30748</xdr:rowOff>
    </xdr:to>
    <xdr:graphicFrame macro="">
      <xdr:nvGraphicFramePr>
        <xdr:cNvPr id="20" name="Chart 48">
          <a:extLst>
            <a:ext uri="{FF2B5EF4-FFF2-40B4-BE49-F238E27FC236}">
              <a16:creationId xmlns:a16="http://schemas.microsoft.com/office/drawing/2014/main" id="{8BF36E4B-5D8A-4EFB-A973-8B48374C1139}"/>
            </a:ext>
            <a:ext uri="{147F2762-F138-4A5C-976F-8EAC2B608ADB}">
              <a16:predDERef xmlns:a16="http://schemas.microsoft.com/office/drawing/2014/main" pred="{B2D25012-FC95-4C4C-8C62-C8804CFAD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0</xdr:col>
      <xdr:colOff>914</xdr:colOff>
      <xdr:row>70</xdr:row>
      <xdr:rowOff>157162</xdr:rowOff>
    </xdr:from>
    <xdr:to>
      <xdr:col>3</xdr:col>
      <xdr:colOff>351297</xdr:colOff>
      <xdr:row>88</xdr:row>
      <xdr:rowOff>45584</xdr:rowOff>
    </xdr:to>
    <xdr:graphicFrame macro="">
      <xdr:nvGraphicFramePr>
        <xdr:cNvPr id="16" name="Chart 62">
          <a:extLst>
            <a:ext uri="{FF2B5EF4-FFF2-40B4-BE49-F238E27FC236}">
              <a16:creationId xmlns:a16="http://schemas.microsoft.com/office/drawing/2014/main" id="{4AA1EC71-0894-020F-B3F8-2A7772D6AA98}"/>
            </a:ext>
            <a:ext uri="{147F2762-F138-4A5C-976F-8EAC2B608ADB}">
              <a16:predDERef xmlns:a16="http://schemas.microsoft.com/office/drawing/2014/main" pred="{8BF36E4B-5D8A-4EFB-A973-8B48374C1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4</xdr:col>
      <xdr:colOff>347534</xdr:colOff>
      <xdr:row>70</xdr:row>
      <xdr:rowOff>141589</xdr:rowOff>
    </xdr:from>
    <xdr:to>
      <xdr:col>8</xdr:col>
      <xdr:colOff>54339</xdr:colOff>
      <xdr:row>88</xdr:row>
      <xdr:rowOff>30011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A168F4FC-AD4F-4DB2-92B4-E8FF2BAAD7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9</xdr:col>
      <xdr:colOff>476251</xdr:colOff>
      <xdr:row>70</xdr:row>
      <xdr:rowOff>115844</xdr:rowOff>
    </xdr:from>
    <xdr:to>
      <xdr:col>13</xdr:col>
      <xdr:colOff>183054</xdr:colOff>
      <xdr:row>88</xdr:row>
      <xdr:rowOff>4266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A1F2939D-737B-445A-B0F9-3CF0C97245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14</xdr:col>
      <xdr:colOff>514865</xdr:colOff>
      <xdr:row>70</xdr:row>
      <xdr:rowOff>90101</xdr:rowOff>
    </xdr:from>
    <xdr:to>
      <xdr:col>18</xdr:col>
      <xdr:colOff>221670</xdr:colOff>
      <xdr:row>87</xdr:row>
      <xdr:rowOff>158725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FFEB1DE2-8934-45E0-A187-FEFA8CBC7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19</xdr:col>
      <xdr:colOff>489121</xdr:colOff>
      <xdr:row>70</xdr:row>
      <xdr:rowOff>25743</xdr:rowOff>
    </xdr:from>
    <xdr:to>
      <xdr:col>23</xdr:col>
      <xdr:colOff>195924</xdr:colOff>
      <xdr:row>87</xdr:row>
      <xdr:rowOff>94367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8D27C78A-FB32-42E2-9F09-7F73D8CDB9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24</xdr:col>
      <xdr:colOff>437636</xdr:colOff>
      <xdr:row>70</xdr:row>
      <xdr:rowOff>141588</xdr:rowOff>
    </xdr:from>
    <xdr:to>
      <xdr:col>28</xdr:col>
      <xdr:colOff>144441</xdr:colOff>
      <xdr:row>88</xdr:row>
      <xdr:rowOff>30010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AA2BA368-4184-4702-B86C-EE1EF2B87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29</xdr:col>
      <xdr:colOff>373277</xdr:colOff>
      <xdr:row>70</xdr:row>
      <xdr:rowOff>51486</xdr:rowOff>
    </xdr:from>
    <xdr:to>
      <xdr:col>33</xdr:col>
      <xdr:colOff>92953</xdr:colOff>
      <xdr:row>87</xdr:row>
      <xdr:rowOff>120110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0A37E606-B758-4A42-ABB1-54DF6E28D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34</xdr:col>
      <xdr:colOff>468923</xdr:colOff>
      <xdr:row>70</xdr:row>
      <xdr:rowOff>29309</xdr:rowOff>
    </xdr:from>
    <xdr:to>
      <xdr:col>38</xdr:col>
      <xdr:colOff>181271</xdr:colOff>
      <xdr:row>87</xdr:row>
      <xdr:rowOff>97933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8548B0BE-4D27-46B0-BA5A-1EEA78B5F3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39</xdr:col>
      <xdr:colOff>608136</xdr:colOff>
      <xdr:row>71</xdr:row>
      <xdr:rowOff>29308</xdr:rowOff>
    </xdr:from>
    <xdr:to>
      <xdr:col>43</xdr:col>
      <xdr:colOff>320485</xdr:colOff>
      <xdr:row>88</xdr:row>
      <xdr:rowOff>97934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9DA4A671-11AE-4246-9418-9BCA94CD3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45</xdr:col>
      <xdr:colOff>0</xdr:colOff>
      <xdr:row>71</xdr:row>
      <xdr:rowOff>0</xdr:rowOff>
    </xdr:from>
    <xdr:to>
      <xdr:col>48</xdr:col>
      <xdr:colOff>357117</xdr:colOff>
      <xdr:row>88</xdr:row>
      <xdr:rowOff>68626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076BE45A-AB7A-4468-8E2F-8AE88544F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50</xdr:col>
      <xdr:colOff>0</xdr:colOff>
      <xdr:row>70</xdr:row>
      <xdr:rowOff>145256</xdr:rowOff>
    </xdr:from>
    <xdr:to>
      <xdr:col>53</xdr:col>
      <xdr:colOff>357119</xdr:colOff>
      <xdr:row>88</xdr:row>
      <xdr:rowOff>35286</xdr:rowOff>
    </xdr:to>
    <xdr:graphicFrame macro="">
      <xdr:nvGraphicFramePr>
        <xdr:cNvPr id="22" name="Chart 81">
          <a:extLst>
            <a:ext uri="{FF2B5EF4-FFF2-40B4-BE49-F238E27FC236}">
              <a16:creationId xmlns:a16="http://schemas.microsoft.com/office/drawing/2014/main" id="{B7EB0F96-5E87-4608-AFD2-6902DAF458A9}"/>
            </a:ext>
            <a:ext uri="{147F2762-F138-4A5C-976F-8EAC2B608ADB}">
              <a16:predDERef xmlns:a16="http://schemas.microsoft.com/office/drawing/2014/main" pred="{076BE45A-AB7A-4468-8E2F-8AE88544F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55</xdr:col>
      <xdr:colOff>0</xdr:colOff>
      <xdr:row>70</xdr:row>
      <xdr:rowOff>0</xdr:rowOff>
    </xdr:from>
    <xdr:to>
      <xdr:col>58</xdr:col>
      <xdr:colOff>357118</xdr:colOff>
      <xdr:row>87</xdr:row>
      <xdr:rowOff>68624</xdr:rowOff>
    </xdr:to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A46B616B-D399-4325-99D9-9A1064528C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60</xdr:col>
      <xdr:colOff>0</xdr:colOff>
      <xdr:row>68</xdr:row>
      <xdr:rowOff>0</xdr:rowOff>
    </xdr:from>
    <xdr:to>
      <xdr:col>63</xdr:col>
      <xdr:colOff>357119</xdr:colOff>
      <xdr:row>85</xdr:row>
      <xdr:rowOff>68625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B7290ECE-75C7-4337-84AE-E3F366B5A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59</xdr:col>
      <xdr:colOff>637443</xdr:colOff>
      <xdr:row>52</xdr:row>
      <xdr:rowOff>36635</xdr:rowOff>
    </xdr:from>
    <xdr:to>
      <xdr:col>62</xdr:col>
      <xdr:colOff>1284152</xdr:colOff>
      <xdr:row>67</xdr:row>
      <xdr:rowOff>49523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9128BA05-4588-49D3-8B72-B820F552C3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65</xdr:col>
      <xdr:colOff>0</xdr:colOff>
      <xdr:row>54</xdr:row>
      <xdr:rowOff>0</xdr:rowOff>
    </xdr:from>
    <xdr:to>
      <xdr:col>67</xdr:col>
      <xdr:colOff>1291478</xdr:colOff>
      <xdr:row>69</xdr:row>
      <xdr:rowOff>12888</xdr:rowOff>
    </xdr:to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2CE3E506-D62E-41C1-BAFD-138A01E327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69</xdr:col>
      <xdr:colOff>622788</xdr:colOff>
      <xdr:row>37</xdr:row>
      <xdr:rowOff>168518</xdr:rowOff>
    </xdr:from>
    <xdr:to>
      <xdr:col>72</xdr:col>
      <xdr:colOff>1254278</xdr:colOff>
      <xdr:row>51</xdr:row>
      <xdr:rowOff>28657</xdr:rowOff>
    </xdr:to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0BA5A35F-B9B0-46C4-988B-017825174E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70</xdr:col>
      <xdr:colOff>0</xdr:colOff>
      <xdr:row>54</xdr:row>
      <xdr:rowOff>0</xdr:rowOff>
    </xdr:from>
    <xdr:to>
      <xdr:col>72</xdr:col>
      <xdr:colOff>1291478</xdr:colOff>
      <xdr:row>69</xdr:row>
      <xdr:rowOff>12888</xdr:rowOff>
    </xdr:to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3C46B9A2-D21E-4140-8769-9F0F8212D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64</xdr:col>
      <xdr:colOff>402980</xdr:colOff>
      <xdr:row>69</xdr:row>
      <xdr:rowOff>168519</xdr:rowOff>
    </xdr:from>
    <xdr:to>
      <xdr:col>68</xdr:col>
      <xdr:colOff>115328</xdr:colOff>
      <xdr:row>87</xdr:row>
      <xdr:rowOff>53971</xdr:rowOff>
    </xdr:to>
    <xdr:graphicFrame macro="">
      <xdr:nvGraphicFramePr>
        <xdr:cNvPr id="90" name="Chart 89">
          <a:extLst>
            <a:ext uri="{FF2B5EF4-FFF2-40B4-BE49-F238E27FC236}">
              <a16:creationId xmlns:a16="http://schemas.microsoft.com/office/drawing/2014/main" id="{059C0C44-04F6-4F30-AE84-75CAB25FB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69</xdr:col>
      <xdr:colOff>630116</xdr:colOff>
      <xdr:row>70</xdr:row>
      <xdr:rowOff>146539</xdr:rowOff>
    </xdr:from>
    <xdr:to>
      <xdr:col>72</xdr:col>
      <xdr:colOff>1267557</xdr:colOff>
      <xdr:row>84</xdr:row>
      <xdr:rowOff>117230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ED92B8-DCD9-4614-B6D6-F4E9D3A0B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12700</xdr:colOff>
      <xdr:row>39</xdr:row>
      <xdr:rowOff>114300</xdr:rowOff>
    </xdr:from>
    <xdr:to>
      <xdr:col>5</xdr:col>
      <xdr:colOff>330200</xdr:colOff>
      <xdr:row>39</xdr:row>
      <xdr:rowOff>177800</xdr:rowOff>
    </xdr:to>
    <xdr:sp macro="" textlink="">
      <xdr:nvSpPr>
        <xdr:cNvPr id="6145" name="Control 1" hidden="1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00000000-0008-0000-1400-0000011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 editAs="oneCell">
    <xdr:from>
      <xdr:col>1</xdr:col>
      <xdr:colOff>25400</xdr:colOff>
      <xdr:row>39</xdr:row>
      <xdr:rowOff>114300</xdr:rowOff>
    </xdr:from>
    <xdr:to>
      <xdr:col>1</xdr:col>
      <xdr:colOff>342900</xdr:colOff>
      <xdr:row>39</xdr:row>
      <xdr:rowOff>177800</xdr:rowOff>
    </xdr:to>
    <xdr:sp macro="" textlink="">
      <xdr:nvSpPr>
        <xdr:cNvPr id="6146" name="Control 2" hidden="1">
          <a:extLst>
            <a:ext uri="{63B3BB69-23CF-44E3-9099-C40C66FF867C}">
              <a14:compatExt xmlns:a14="http://schemas.microsoft.com/office/drawing/2010/main" spid="_x0000_s6146"/>
            </a:ext>
            <a:ext uri="{FF2B5EF4-FFF2-40B4-BE49-F238E27FC236}">
              <a16:creationId xmlns:a16="http://schemas.microsoft.com/office/drawing/2014/main" id="{00000000-0008-0000-1400-0000021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 editAs="oneCell">
    <xdr:from>
      <xdr:col>5</xdr:col>
      <xdr:colOff>12700</xdr:colOff>
      <xdr:row>39</xdr:row>
      <xdr:rowOff>114300</xdr:rowOff>
    </xdr:from>
    <xdr:to>
      <xdr:col>5</xdr:col>
      <xdr:colOff>330200</xdr:colOff>
      <xdr:row>39</xdr:row>
      <xdr:rowOff>177800</xdr:rowOff>
    </xdr:to>
    <xdr:pic>
      <xdr:nvPicPr>
        <xdr:cNvPr id="2" name="Control 1">
          <a:extLst>
            <a:ext uri="{FF2B5EF4-FFF2-40B4-BE49-F238E27FC236}">
              <a16:creationId xmlns:a16="http://schemas.microsoft.com/office/drawing/2014/main" id="{AE41AA67-3BBF-120C-CC84-3540E8BC07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18021300"/>
          <a:ext cx="317500" cy="635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</xdr:col>
      <xdr:colOff>25400</xdr:colOff>
      <xdr:row>39</xdr:row>
      <xdr:rowOff>114300</xdr:rowOff>
    </xdr:from>
    <xdr:to>
      <xdr:col>1</xdr:col>
      <xdr:colOff>342900</xdr:colOff>
      <xdr:row>39</xdr:row>
      <xdr:rowOff>177800</xdr:rowOff>
    </xdr:to>
    <xdr:pic>
      <xdr:nvPicPr>
        <xdr:cNvPr id="3" name="Control 2">
          <a:extLst>
            <a:ext uri="{FF2B5EF4-FFF2-40B4-BE49-F238E27FC236}">
              <a16:creationId xmlns:a16="http://schemas.microsoft.com/office/drawing/2014/main" id="{ADD7BF36-E4E2-231C-4699-8FD3FE51D8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800" y="18021300"/>
          <a:ext cx="317500" cy="635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EB0C-4396-3F49-A5CB-8F5CE98E2DC2}">
  <dimension ref="B1:I25"/>
  <sheetViews>
    <sheetView tabSelected="1" zoomScale="70" zoomScaleNormal="70" workbookViewId="0">
      <selection activeCell="B4" sqref="B4"/>
    </sheetView>
  </sheetViews>
  <sheetFormatPr baseColWidth="10" defaultRowHeight="15" x14ac:dyDescent="0.2"/>
  <cols>
    <col min="2" max="2" width="16.33203125" customWidth="1"/>
    <col min="3" max="3" width="20.6640625" customWidth="1"/>
    <col min="4" max="4" width="21.1640625" customWidth="1"/>
    <col min="5" max="5" width="20.1640625" customWidth="1"/>
    <col min="6" max="6" width="15.6640625" customWidth="1"/>
    <col min="7" max="7" width="20.5" customWidth="1"/>
    <col min="8" max="8" width="23.83203125" customWidth="1"/>
  </cols>
  <sheetData>
    <row r="1" spans="2:9" ht="27" x14ac:dyDescent="0.2">
      <c r="B1" s="260" t="s">
        <v>387</v>
      </c>
      <c r="C1" s="260"/>
      <c r="D1" s="260"/>
      <c r="E1" s="260"/>
      <c r="F1" s="260"/>
      <c r="G1" s="260"/>
      <c r="H1" s="260"/>
    </row>
    <row r="2" spans="2:9" ht="19" x14ac:dyDescent="0.2">
      <c r="B2" s="264" t="s">
        <v>388</v>
      </c>
      <c r="C2" s="264"/>
      <c r="D2" s="264"/>
      <c r="E2" s="264"/>
      <c r="F2" s="264"/>
      <c r="G2" s="264"/>
      <c r="H2" s="264"/>
    </row>
    <row r="3" spans="2:9" ht="33" customHeight="1" x14ac:dyDescent="0.2">
      <c r="B3" s="213" t="s">
        <v>382</v>
      </c>
      <c r="C3" s="211" t="s">
        <v>7</v>
      </c>
      <c r="D3" s="211" t="s">
        <v>85</v>
      </c>
      <c r="E3" s="211" t="s">
        <v>385</v>
      </c>
      <c r="F3" s="211" t="s">
        <v>383</v>
      </c>
      <c r="G3" s="211" t="s">
        <v>384</v>
      </c>
      <c r="H3" s="211" t="s">
        <v>386</v>
      </c>
    </row>
    <row r="4" spans="2:9" ht="27" x14ac:dyDescent="0.2">
      <c r="B4" s="214" t="s">
        <v>330</v>
      </c>
      <c r="C4" s="215">
        <f>_xlfn.XLOOKUP(Dashboard!B4,'Cleaned Data'!A5:A17,'Cleaned Data'!B5:B17)</f>
        <v>2903</v>
      </c>
      <c r="D4" s="216">
        <f>_xlfn.XLOOKUP(Dashboard!B4,'Cleaned Data'!A5:A17,'Cleaned Data'!CP5:CP17)</f>
        <v>60469</v>
      </c>
      <c r="E4" s="217">
        <f>_xlfn.XLOOKUP(Dashboard!C4,'Cleaned Data'!B5:B17,'Cleaned Data'!O5:O17)</f>
        <v>0.16139999999999999</v>
      </c>
      <c r="F4" s="217">
        <f>_xlfn.XLOOKUP(Dashboard!B4,'Cleaned Data'!A5:A17,'Cleaned Data'!Y5:Y17)</f>
        <v>0.20799999999999999</v>
      </c>
      <c r="G4" s="217">
        <f>_xlfn.XLOOKUP(Dashboard!B4,'Cleaned Data'!A5:A17,'Cleaned Data'!AT5:AT17)</f>
        <v>0.17699999999999999</v>
      </c>
      <c r="H4" s="218">
        <f>_xlfn.XLOOKUP(Dashboard!B4,'Cleaned Data'!A5:A17,'Cleaned Data'!AV5:AV17)</f>
        <v>73.709999999999994</v>
      </c>
    </row>
    <row r="7" spans="2:9" x14ac:dyDescent="0.2">
      <c r="B7" s="265"/>
      <c r="C7" s="265"/>
    </row>
    <row r="8" spans="2:9" x14ac:dyDescent="0.2">
      <c r="B8" s="1"/>
      <c r="C8" s="1"/>
    </row>
    <row r="9" spans="2:9" x14ac:dyDescent="0.2">
      <c r="B9" s="188"/>
    </row>
    <row r="10" spans="2:9" ht="15" customHeight="1" x14ac:dyDescent="0.2">
      <c r="B10" s="188"/>
    </row>
    <row r="11" spans="2:9" x14ac:dyDescent="0.2">
      <c r="B11" s="188"/>
    </row>
    <row r="12" spans="2:9" ht="22" x14ac:dyDescent="0.2">
      <c r="B12" s="261" t="s">
        <v>2</v>
      </c>
      <c r="C12" s="261"/>
      <c r="D12" s="219"/>
      <c r="E12" s="262" t="s">
        <v>3</v>
      </c>
      <c r="F12" s="262"/>
      <c r="G12" s="219"/>
      <c r="H12" s="263" t="s">
        <v>0</v>
      </c>
      <c r="I12" s="263"/>
    </row>
    <row r="13" spans="2:9" ht="17" x14ac:dyDescent="0.2">
      <c r="B13" s="211" t="s">
        <v>389</v>
      </c>
      <c r="C13" s="211" t="s">
        <v>390</v>
      </c>
      <c r="D13" s="211"/>
      <c r="E13" s="211" t="s">
        <v>389</v>
      </c>
      <c r="F13" s="211" t="s">
        <v>390</v>
      </c>
      <c r="G13" s="211"/>
      <c r="H13" s="211" t="s">
        <v>389</v>
      </c>
      <c r="I13" s="211" t="s">
        <v>390</v>
      </c>
    </row>
    <row r="14" spans="2:9" ht="34" x14ac:dyDescent="0.2">
      <c r="B14" s="211" t="s">
        <v>400</v>
      </c>
      <c r="C14" s="219">
        <f>_xlfn.XLOOKUP(Dashboard!B4,'Cleaned Data'!A5:A17,'Cleaned Data'!D5:D17)</f>
        <v>20</v>
      </c>
      <c r="D14" s="219"/>
      <c r="E14" s="212" t="s">
        <v>401</v>
      </c>
      <c r="F14" s="219">
        <f>_xlfn.XLOOKUP(Dashboard!B4,'Cleaned Data'!A5:A17, 'Cleaned Data'!AY5:AY17)</f>
        <v>135.1</v>
      </c>
      <c r="G14" s="219"/>
      <c r="H14" s="212" t="s">
        <v>393</v>
      </c>
      <c r="I14" s="219">
        <f>_xlfn.XLOOKUP(Dashboard!B4,'Cleaned Data'!A5:A17, 'Cleaned Data'!BA5:BA17)</f>
        <v>5.7</v>
      </c>
    </row>
    <row r="15" spans="2:9" ht="32" x14ac:dyDescent="0.2">
      <c r="B15" s="211" t="s">
        <v>391</v>
      </c>
      <c r="C15" s="220">
        <f>_xlfn.XLOOKUP(Dashboard!B4,'Cleaned Data'!A5:A17, 'Cleaned Data'!J5:J17)</f>
        <v>0.45679999999999998</v>
      </c>
      <c r="D15" s="220"/>
      <c r="E15" s="212" t="s">
        <v>396</v>
      </c>
      <c r="F15" s="219">
        <f>_xlfn.XLOOKUP(Dashboard!B4,'Cleaned Data'!A5:A17,'Cleaned Data'!AL5:AL17)</f>
        <v>0</v>
      </c>
      <c r="G15" s="219"/>
      <c r="H15" s="212" t="s">
        <v>394</v>
      </c>
      <c r="I15" s="220">
        <f>_xlfn.XLOOKUP(Dashboard!B4,'Cleaned Data'!A5:A17,'Cleaned Data'!AA5:AA17)</f>
        <v>0.15920000000000001</v>
      </c>
    </row>
    <row r="16" spans="2:9" ht="32" x14ac:dyDescent="0.2">
      <c r="B16" s="211" t="s">
        <v>392</v>
      </c>
      <c r="C16" s="220">
        <f>_xlfn.XLOOKUP(Dashboard!B4,'Cleaned Data'!A5:A17, 'Cleaned Data'!K5:K17)</f>
        <v>0.54320000000000002</v>
      </c>
      <c r="D16" s="220"/>
      <c r="E16" s="212" t="s">
        <v>397</v>
      </c>
      <c r="F16" s="219">
        <f>_xlfn.XLOOKUP(Dashboard!B4,'Cleaned Data'!A5:A17,'Cleaned Data'!AD5:AD17)</f>
        <v>306.23</v>
      </c>
      <c r="G16" s="219"/>
      <c r="H16" s="212" t="s">
        <v>395</v>
      </c>
      <c r="I16" s="219">
        <f>_xlfn.XLOOKUP(Dashboard!B4,'Cleaned Data'!A5:A17,'Cleaned Data'!U5:U17)</f>
        <v>0</v>
      </c>
    </row>
    <row r="17" spans="2:9" ht="32" customHeight="1" x14ac:dyDescent="0.2">
      <c r="B17" s="211" t="s">
        <v>174</v>
      </c>
      <c r="C17" s="219">
        <f>_xlfn.XLOOKUP(Dashboard!B4,'Cleaned Data'!A5:A17,'Cleaned Data'!L5:L17)</f>
        <v>43.2</v>
      </c>
      <c r="D17" s="219"/>
      <c r="E17" s="212" t="s">
        <v>398</v>
      </c>
      <c r="F17" s="219">
        <f>_xlfn.XLOOKUP(Dashboard!B4,'Cleaned Data'!A5:A17,'Cleaned Data'!AG5:AG17)</f>
        <v>137</v>
      </c>
      <c r="G17" s="219"/>
      <c r="H17" s="212" t="s">
        <v>399</v>
      </c>
      <c r="I17" s="220">
        <f>_xlfn.XLOOKUP(Dashboard!B4,'Cleaned Data'!A5:A17,'Cleaned Data'!BH5:BH17)</f>
        <v>2.7E-2</v>
      </c>
    </row>
    <row r="25" spans="2:9" x14ac:dyDescent="0.2">
      <c r="H25" t="s">
        <v>320</v>
      </c>
    </row>
  </sheetData>
  <mergeCells count="6">
    <mergeCell ref="B1:H1"/>
    <mergeCell ref="B12:C12"/>
    <mergeCell ref="E12:F12"/>
    <mergeCell ref="H12:I12"/>
    <mergeCell ref="B2:H2"/>
    <mergeCell ref="B7:C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91B6A5-98D5-C141-89B7-DD2E2A45D9F6}">
          <x14:formula1>
            <xm:f>'Cleaned Data'!$A$5:$A$17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8C2F-68EA-4B01-BE44-195D876926E1}">
  <dimension ref="A2:J124"/>
  <sheetViews>
    <sheetView topLeftCell="A118" zoomScale="76" zoomScaleNormal="76" workbookViewId="0">
      <selection activeCell="K140" sqref="K140"/>
    </sheetView>
  </sheetViews>
  <sheetFormatPr baseColWidth="10" defaultColWidth="8.83203125" defaultRowHeight="15" x14ac:dyDescent="0.2"/>
  <cols>
    <col min="11" max="11" width="45.1640625" customWidth="1"/>
  </cols>
  <sheetData>
    <row r="2" spans="1:1" ht="16" x14ac:dyDescent="0.2">
      <c r="A2" s="58" t="s">
        <v>2</v>
      </c>
    </row>
    <row r="37" spans="1:1" ht="131.25" customHeight="1" x14ac:dyDescent="0.2"/>
    <row r="38" spans="1:1" x14ac:dyDescent="0.2">
      <c r="A38" s="57" t="s">
        <v>0</v>
      </c>
    </row>
    <row r="59" spans="10:10" x14ac:dyDescent="0.2">
      <c r="J59" t="s">
        <v>320</v>
      </c>
    </row>
    <row r="89" spans="1:1" x14ac:dyDescent="0.2">
      <c r="A89" s="57" t="s">
        <v>3</v>
      </c>
    </row>
    <row r="111" ht="67.25" customHeight="1" x14ac:dyDescent="0.2"/>
    <row r="121" spans="1:1" ht="73.25" customHeight="1" x14ac:dyDescent="0.2"/>
    <row r="122" spans="1:1" ht="133.5" customHeight="1" x14ac:dyDescent="0.2"/>
    <row r="124" spans="1:1" x14ac:dyDescent="0.2">
      <c r="A124" s="76" t="s">
        <v>226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5D57D-13FD-4EB5-B542-8F3903AD0A24}">
  <dimension ref="A1:BU72"/>
  <sheetViews>
    <sheetView topLeftCell="B1" zoomScale="40" zoomScaleNormal="70" workbookViewId="0">
      <pane ySplit="1" topLeftCell="A2" activePane="bottomLeft" state="frozen"/>
      <selection activeCell="CA1" sqref="CA1"/>
      <selection pane="bottomLeft" activeCell="D7" sqref="D7"/>
    </sheetView>
  </sheetViews>
  <sheetFormatPr baseColWidth="10" defaultColWidth="9" defaultRowHeight="15" x14ac:dyDescent="0.2"/>
  <cols>
    <col min="1" max="1" width="24" style="2" customWidth="1"/>
    <col min="2" max="2" width="15.33203125" style="2" customWidth="1"/>
    <col min="3" max="3" width="19.6640625" style="2" customWidth="1"/>
    <col min="4" max="4" width="9" style="142"/>
    <col min="5" max="5" width="9" style="2"/>
    <col min="6" max="6" width="24" style="2" customWidth="1"/>
    <col min="7" max="7" width="15.33203125" style="2" customWidth="1"/>
    <col min="8" max="8" width="19.6640625" style="2" customWidth="1"/>
    <col min="9" max="9" width="9" style="142"/>
    <col min="10" max="10" width="9" style="2"/>
    <col min="11" max="11" width="24" style="2" customWidth="1"/>
    <col min="12" max="12" width="15.33203125" style="2" customWidth="1"/>
    <col min="13" max="13" width="19.6640625" style="2" customWidth="1"/>
    <col min="14" max="14" width="9" style="142"/>
    <col min="15" max="15" width="9" style="2"/>
    <col min="16" max="16" width="24" style="2" customWidth="1"/>
    <col min="17" max="17" width="15.33203125" style="2" customWidth="1"/>
    <col min="18" max="18" width="19.6640625" style="2" customWidth="1"/>
    <col min="19" max="19" width="9" style="142" customWidth="1"/>
    <col min="20" max="20" width="9" style="2"/>
    <col min="21" max="21" width="24" style="2" customWidth="1"/>
    <col min="22" max="22" width="15.33203125" style="2" customWidth="1"/>
    <col min="23" max="23" width="19.6640625" style="2" customWidth="1"/>
    <col min="24" max="24" width="9" style="142"/>
    <col min="25" max="25" width="9" style="2"/>
    <col min="26" max="26" width="24" style="2" customWidth="1"/>
    <col min="27" max="27" width="15.33203125" style="2" customWidth="1"/>
    <col min="28" max="28" width="19.6640625" style="2" customWidth="1"/>
    <col min="29" max="29" width="9" style="142" customWidth="1"/>
    <col min="30" max="30" width="9" style="2"/>
    <col min="31" max="31" width="24" style="2" customWidth="1"/>
    <col min="32" max="32" width="15.33203125" style="2" customWidth="1"/>
    <col min="33" max="33" width="19.33203125" style="2" customWidth="1"/>
    <col min="34" max="34" width="9" style="142" customWidth="1"/>
    <col min="35" max="35" width="9" style="2"/>
    <col min="36" max="36" width="24" style="2" customWidth="1"/>
    <col min="37" max="37" width="15.33203125" style="2" customWidth="1"/>
    <col min="38" max="38" width="19.6640625" style="2" customWidth="1"/>
    <col min="39" max="39" width="9" style="142"/>
    <col min="40" max="40" width="9" style="2"/>
    <col min="41" max="41" width="24" style="2" customWidth="1"/>
    <col min="42" max="42" width="15.33203125" style="2" customWidth="1"/>
    <col min="43" max="43" width="19.6640625" style="2" customWidth="1"/>
    <col min="44" max="44" width="9" style="142"/>
    <col min="45" max="45" width="9" style="2"/>
    <col min="46" max="46" width="24" style="2" customWidth="1"/>
    <col min="47" max="47" width="15.33203125" style="2" customWidth="1"/>
    <col min="48" max="48" width="19.6640625" style="2" customWidth="1"/>
    <col min="49" max="49" width="9" style="142"/>
    <col min="50" max="50" width="9" style="2"/>
    <col min="51" max="51" width="24" style="2" customWidth="1"/>
    <col min="52" max="52" width="15.33203125" style="2" customWidth="1"/>
    <col min="53" max="53" width="19.6640625" style="2" customWidth="1"/>
    <col min="54" max="54" width="9" style="142"/>
    <col min="55" max="55" width="9" style="2"/>
    <col min="56" max="56" width="24" style="2" customWidth="1"/>
    <col min="57" max="57" width="15.33203125" style="2" customWidth="1"/>
    <col min="58" max="58" width="19.6640625" style="2" customWidth="1"/>
    <col min="59" max="59" width="9" style="142"/>
    <col min="60" max="60" width="9" style="2"/>
    <col min="61" max="61" width="24" style="2" customWidth="1"/>
    <col min="62" max="62" width="15.33203125" style="2" customWidth="1"/>
    <col min="63" max="63" width="19.6640625" style="2" customWidth="1"/>
    <col min="64" max="64" width="9" style="142" customWidth="1"/>
    <col min="65" max="65" width="9" style="2"/>
    <col min="66" max="66" width="24" style="2" customWidth="1"/>
    <col min="67" max="67" width="15.33203125" style="2" customWidth="1"/>
    <col min="68" max="68" width="19.6640625" style="2" customWidth="1"/>
    <col min="69" max="69" width="9" style="142"/>
    <col min="70" max="70" width="9" style="2"/>
    <col min="71" max="71" width="24" style="2" customWidth="1"/>
    <col min="72" max="72" width="15.33203125" style="2" customWidth="1"/>
    <col min="73" max="73" width="19.6640625" style="2" customWidth="1"/>
    <col min="74" max="16384" width="9" style="2"/>
  </cols>
  <sheetData>
    <row r="1" spans="1:73" s="85" customFormat="1" ht="23" x14ac:dyDescent="0.2">
      <c r="A1" s="49" t="s">
        <v>285</v>
      </c>
      <c r="C1" s="86" t="s">
        <v>104</v>
      </c>
      <c r="D1" s="141"/>
      <c r="F1" s="49" t="s">
        <v>285</v>
      </c>
      <c r="H1" s="86" t="s">
        <v>110</v>
      </c>
      <c r="I1" s="141"/>
      <c r="K1" s="49" t="s">
        <v>285</v>
      </c>
      <c r="M1" s="86" t="s">
        <v>114</v>
      </c>
      <c r="N1" s="141"/>
      <c r="P1" s="49" t="s">
        <v>285</v>
      </c>
      <c r="R1" s="86" t="s">
        <v>118</v>
      </c>
      <c r="S1" s="141"/>
      <c r="U1" s="49" t="s">
        <v>285</v>
      </c>
      <c r="W1" s="86" t="s">
        <v>123</v>
      </c>
      <c r="X1" s="141"/>
      <c r="Z1" s="49" t="s">
        <v>285</v>
      </c>
      <c r="AB1" s="86" t="s">
        <v>127</v>
      </c>
      <c r="AC1" s="141"/>
      <c r="AE1" s="49" t="s">
        <v>285</v>
      </c>
      <c r="AG1" s="86" t="s">
        <v>130</v>
      </c>
      <c r="AH1" s="141"/>
      <c r="AJ1" s="49" t="s">
        <v>285</v>
      </c>
      <c r="AL1" s="86" t="s">
        <v>133</v>
      </c>
      <c r="AM1" s="141"/>
      <c r="AO1" s="49" t="s">
        <v>285</v>
      </c>
      <c r="AQ1" s="86" t="s">
        <v>138</v>
      </c>
      <c r="AR1" s="141"/>
      <c r="AT1" s="49" t="s">
        <v>285</v>
      </c>
      <c r="AV1" s="86" t="s">
        <v>143</v>
      </c>
      <c r="AW1" s="141"/>
      <c r="AY1" s="49" t="s">
        <v>285</v>
      </c>
      <c r="BA1" s="86" t="s">
        <v>286</v>
      </c>
      <c r="BB1" s="141"/>
      <c r="BD1" s="49" t="s">
        <v>285</v>
      </c>
      <c r="BF1" s="86" t="s">
        <v>287</v>
      </c>
      <c r="BG1" s="141"/>
      <c r="BI1" s="49" t="s">
        <v>285</v>
      </c>
      <c r="BK1" s="86" t="s">
        <v>157</v>
      </c>
      <c r="BL1" s="141"/>
      <c r="BN1" s="49" t="s">
        <v>285</v>
      </c>
      <c r="BP1" s="86" t="s">
        <v>288</v>
      </c>
      <c r="BQ1" s="141"/>
      <c r="BS1" s="49" t="s">
        <v>285</v>
      </c>
      <c r="BU1" s="86" t="s">
        <v>289</v>
      </c>
    </row>
    <row r="2" spans="1:73" ht="20" x14ac:dyDescent="0.2">
      <c r="A2" s="183" t="s">
        <v>290</v>
      </c>
      <c r="B2" s="266" t="s">
        <v>291</v>
      </c>
      <c r="C2" s="267"/>
      <c r="F2" s="183" t="s">
        <v>290</v>
      </c>
      <c r="G2" s="266" t="s">
        <v>291</v>
      </c>
      <c r="H2" s="267"/>
      <c r="K2" s="183" t="s">
        <v>290</v>
      </c>
      <c r="L2" s="266" t="s">
        <v>291</v>
      </c>
      <c r="M2" s="267"/>
      <c r="P2" s="183" t="s">
        <v>290</v>
      </c>
      <c r="Q2" s="266" t="s">
        <v>291</v>
      </c>
      <c r="R2" s="267"/>
      <c r="U2" s="183" t="s">
        <v>290</v>
      </c>
      <c r="V2" s="266" t="s">
        <v>291</v>
      </c>
      <c r="W2" s="267"/>
      <c r="Z2" s="183" t="s">
        <v>290</v>
      </c>
      <c r="AA2" s="266" t="s">
        <v>291</v>
      </c>
      <c r="AB2" s="267"/>
      <c r="AE2" s="183" t="s">
        <v>290</v>
      </c>
      <c r="AF2" s="266" t="s">
        <v>291</v>
      </c>
      <c r="AG2" s="267"/>
      <c r="AJ2" s="183" t="s">
        <v>290</v>
      </c>
      <c r="AK2" s="266" t="s">
        <v>291</v>
      </c>
      <c r="AL2" s="267"/>
      <c r="AO2" s="183" t="s">
        <v>290</v>
      </c>
      <c r="AP2" s="266" t="s">
        <v>291</v>
      </c>
      <c r="AQ2" s="267"/>
      <c r="AT2" s="183" t="s">
        <v>290</v>
      </c>
      <c r="AU2" s="266" t="s">
        <v>291</v>
      </c>
      <c r="AV2" s="267"/>
      <c r="AY2" s="183" t="s">
        <v>290</v>
      </c>
      <c r="AZ2" s="266" t="s">
        <v>291</v>
      </c>
      <c r="BA2" s="267"/>
      <c r="BD2" s="183" t="s">
        <v>290</v>
      </c>
      <c r="BE2" s="266" t="s">
        <v>291</v>
      </c>
      <c r="BF2" s="267"/>
      <c r="BI2" s="183" t="s">
        <v>290</v>
      </c>
      <c r="BJ2" s="266" t="s">
        <v>291</v>
      </c>
      <c r="BK2" s="267"/>
      <c r="BN2" s="183" t="s">
        <v>290</v>
      </c>
      <c r="BO2" s="266" t="s">
        <v>291</v>
      </c>
      <c r="BP2" s="267"/>
      <c r="BS2" s="183" t="s">
        <v>290</v>
      </c>
      <c r="BT2" s="266" t="s">
        <v>291</v>
      </c>
      <c r="BU2" s="267"/>
    </row>
    <row r="3" spans="1:73" ht="76.5" customHeight="1" x14ac:dyDescent="0.2">
      <c r="A3" s="83" t="s">
        <v>2</v>
      </c>
      <c r="B3" s="102" t="s">
        <v>275</v>
      </c>
      <c r="C3" s="77" t="s">
        <v>292</v>
      </c>
      <c r="E3" s="2" t="s">
        <v>293</v>
      </c>
      <c r="F3" s="83" t="s">
        <v>2</v>
      </c>
      <c r="G3" s="102" t="s">
        <v>275</v>
      </c>
      <c r="H3" s="135" t="s">
        <v>292</v>
      </c>
      <c r="K3" s="83" t="s">
        <v>2</v>
      </c>
      <c r="L3" s="102" t="s">
        <v>275</v>
      </c>
      <c r="M3" s="77" t="s">
        <v>292</v>
      </c>
      <c r="P3" s="83" t="s">
        <v>2</v>
      </c>
      <c r="Q3" s="102" t="s">
        <v>275</v>
      </c>
      <c r="R3" s="77" t="s">
        <v>292</v>
      </c>
      <c r="U3" s="83" t="s">
        <v>2</v>
      </c>
      <c r="V3" s="102" t="s">
        <v>275</v>
      </c>
      <c r="W3" s="77" t="s">
        <v>292</v>
      </c>
      <c r="Z3" s="83" t="s">
        <v>2</v>
      </c>
      <c r="AA3" s="102" t="s">
        <v>275</v>
      </c>
      <c r="AB3" s="77" t="s">
        <v>292</v>
      </c>
      <c r="AE3" s="83" t="s">
        <v>2</v>
      </c>
      <c r="AF3" s="102" t="s">
        <v>275</v>
      </c>
      <c r="AG3" s="77" t="s">
        <v>292</v>
      </c>
      <c r="AJ3" s="83" t="s">
        <v>2</v>
      </c>
      <c r="AK3" s="102" t="s">
        <v>275</v>
      </c>
      <c r="AL3" s="77" t="s">
        <v>292</v>
      </c>
      <c r="AO3" s="83" t="s">
        <v>2</v>
      </c>
      <c r="AP3" s="102" t="s">
        <v>275</v>
      </c>
      <c r="AQ3" s="77" t="s">
        <v>292</v>
      </c>
      <c r="AT3" s="83" t="s">
        <v>2</v>
      </c>
      <c r="AU3" s="102" t="s">
        <v>275</v>
      </c>
      <c r="AV3" s="77" t="s">
        <v>292</v>
      </c>
      <c r="AY3" s="83" t="s">
        <v>2</v>
      </c>
      <c r="AZ3" s="102" t="s">
        <v>275</v>
      </c>
      <c r="BA3" s="77" t="s">
        <v>292</v>
      </c>
      <c r="BD3" s="83" t="s">
        <v>2</v>
      </c>
      <c r="BE3" s="102" t="s">
        <v>275</v>
      </c>
      <c r="BF3" s="77" t="s">
        <v>292</v>
      </c>
      <c r="BI3" s="83" t="s">
        <v>2</v>
      </c>
      <c r="BJ3" s="102" t="s">
        <v>275</v>
      </c>
      <c r="BK3" s="77" t="s">
        <v>292</v>
      </c>
      <c r="BN3" s="83" t="s">
        <v>2</v>
      </c>
      <c r="BO3" s="102" t="s">
        <v>275</v>
      </c>
      <c r="BP3" s="77" t="s">
        <v>292</v>
      </c>
      <c r="BS3" s="83" t="s">
        <v>2</v>
      </c>
      <c r="BT3" s="102" t="s">
        <v>275</v>
      </c>
      <c r="BU3" s="77" t="s">
        <v>292</v>
      </c>
    </row>
    <row r="4" spans="1:73" ht="16" x14ac:dyDescent="0.2">
      <c r="A4" s="90" t="s">
        <v>7</v>
      </c>
      <c r="B4" s="134">
        <v>24388</v>
      </c>
      <c r="C4" s="134">
        <f>'Cleaned Data'!B5</f>
        <v>24337</v>
      </c>
      <c r="F4" s="90" t="s">
        <v>7</v>
      </c>
      <c r="G4" s="134">
        <v>162419</v>
      </c>
      <c r="H4" s="133">
        <f>'Cleaned Data'!B6</f>
        <v>156921</v>
      </c>
      <c r="K4" s="90" t="s">
        <v>7</v>
      </c>
      <c r="L4" s="134">
        <v>22929</v>
      </c>
      <c r="M4" s="134">
        <f>'Cleaned Data'!B7</f>
        <v>22907</v>
      </c>
      <c r="P4" s="90" t="s">
        <v>7</v>
      </c>
      <c r="Q4" s="145">
        <v>2939</v>
      </c>
      <c r="R4" s="134">
        <f>'Cleaned Data'!B8</f>
        <v>2903</v>
      </c>
      <c r="U4" s="90" t="s">
        <v>7</v>
      </c>
      <c r="V4" s="134">
        <v>15314</v>
      </c>
      <c r="W4" s="134">
        <f>'Cleaned Data'!B9</f>
        <v>15591</v>
      </c>
      <c r="Z4" s="90" t="s">
        <v>7</v>
      </c>
      <c r="AA4" s="134">
        <v>8689</v>
      </c>
      <c r="AB4" s="134">
        <f>'Cleaned Data'!B10</f>
        <v>8704</v>
      </c>
      <c r="AE4" s="90" t="s">
        <v>7</v>
      </c>
      <c r="AF4" s="134">
        <v>7841</v>
      </c>
      <c r="AG4" s="134">
        <f>'Cleaned Data'!B11</f>
        <v>7726</v>
      </c>
      <c r="AJ4" s="90" t="s">
        <v>7</v>
      </c>
      <c r="AK4" s="134">
        <v>21713</v>
      </c>
      <c r="AL4" s="134">
        <f>'Cleaned Data'!B12</f>
        <v>21715</v>
      </c>
      <c r="AO4" s="90" t="s">
        <v>7</v>
      </c>
      <c r="AP4" s="134">
        <v>206640</v>
      </c>
      <c r="AQ4" s="134">
        <f>'Cleaned Data'!B13</f>
        <v>206153</v>
      </c>
      <c r="AT4" s="90" t="s">
        <v>7</v>
      </c>
      <c r="AU4" s="134">
        <v>13977</v>
      </c>
      <c r="AV4" s="134">
        <f>'Cleaned Data'!B14</f>
        <v>14026</v>
      </c>
      <c r="AY4" s="90" t="s">
        <v>7</v>
      </c>
      <c r="AZ4" s="134">
        <v>1600</v>
      </c>
      <c r="BA4" s="134">
        <f>'Cleaned Data'!B15</f>
        <v>1635</v>
      </c>
      <c r="BD4" s="90" t="s">
        <v>7</v>
      </c>
      <c r="BE4" s="134">
        <v>5155</v>
      </c>
      <c r="BF4" s="133">
        <f>'Cleaned Data'!B16</f>
        <v>5197</v>
      </c>
      <c r="BI4" s="90" t="s">
        <v>7</v>
      </c>
      <c r="BJ4" s="134">
        <v>9599</v>
      </c>
      <c r="BK4" s="133">
        <f>'Cleaned Data'!B17</f>
        <v>9610</v>
      </c>
      <c r="BN4" s="90" t="s">
        <v>7</v>
      </c>
      <c r="BO4" s="134">
        <v>10912876</v>
      </c>
      <c r="BP4" s="134">
        <f>'Cleaned Data'!B18</f>
        <v>10722325</v>
      </c>
      <c r="BS4" s="90" t="s">
        <v>7</v>
      </c>
      <c r="BT4" s="91" t="s">
        <v>294</v>
      </c>
      <c r="BU4" s="134">
        <v>331097493</v>
      </c>
    </row>
    <row r="5" spans="1:73" s="89" customFormat="1" ht="16" x14ac:dyDescent="0.2">
      <c r="A5" s="87" t="s">
        <v>295</v>
      </c>
      <c r="B5" s="88">
        <v>0.47899999999999998</v>
      </c>
      <c r="C5" s="88">
        <f>'Cleaned Data'!J5</f>
        <v>0.49080000000000001</v>
      </c>
      <c r="D5" s="143"/>
      <c r="F5" s="87" t="s">
        <v>295</v>
      </c>
      <c r="G5" s="88">
        <v>0.49</v>
      </c>
      <c r="H5" s="88">
        <f>'Cleaned Data'!J6</f>
        <v>0.49030000000000001</v>
      </c>
      <c r="I5" s="143"/>
      <c r="K5" s="87" t="s">
        <v>295</v>
      </c>
      <c r="L5" s="88">
        <v>0.50600000000000001</v>
      </c>
      <c r="M5" s="88">
        <f>'Cleaned Data'!J7</f>
        <v>0.50729999999999997</v>
      </c>
      <c r="N5" s="143"/>
      <c r="P5" s="87" t="s">
        <v>295</v>
      </c>
      <c r="Q5" s="88">
        <v>0.502</v>
      </c>
      <c r="R5" s="88">
        <f>'Cleaned Data'!J8</f>
        <v>0.45679999999999998</v>
      </c>
      <c r="S5" s="143"/>
      <c r="U5" s="87" t="s">
        <v>295</v>
      </c>
      <c r="V5" s="88">
        <v>0.48799999999999999</v>
      </c>
      <c r="W5" s="88">
        <f>'Cleaned Data'!J9</f>
        <v>0.48630000000000001</v>
      </c>
      <c r="X5" s="143"/>
      <c r="Z5" s="87" t="s">
        <v>295</v>
      </c>
      <c r="AA5" s="88">
        <v>0.53200000000000003</v>
      </c>
      <c r="AB5" s="88">
        <f>'Cleaned Data'!J10</f>
        <v>0.50060000000000004</v>
      </c>
      <c r="AC5" s="143"/>
      <c r="AE5" s="87" t="s">
        <v>295</v>
      </c>
      <c r="AF5" s="88">
        <v>0.48</v>
      </c>
      <c r="AG5" s="88">
        <f>'Cleaned Data'!J11</f>
        <v>0.49109999999999998</v>
      </c>
      <c r="AH5" s="143"/>
      <c r="AJ5" s="87" t="s">
        <v>295</v>
      </c>
      <c r="AK5" s="88">
        <v>0.47199999999999998</v>
      </c>
      <c r="AL5" s="88">
        <f>'Cleaned Data'!J12</f>
        <v>0.4839</v>
      </c>
      <c r="AM5" s="143"/>
      <c r="AO5" s="87" t="s">
        <v>295</v>
      </c>
      <c r="AP5" s="88">
        <v>0.48499999999999999</v>
      </c>
      <c r="AQ5" s="88">
        <f>'Cleaned Data'!J13</f>
        <v>0.48409999999999997</v>
      </c>
      <c r="AR5" s="143"/>
      <c r="AT5" s="87" t="s">
        <v>295</v>
      </c>
      <c r="AU5" s="88">
        <v>0.49099999999999999</v>
      </c>
      <c r="AV5" s="88">
        <f>'Cleaned Data'!J14</f>
        <v>0.48070000000000002</v>
      </c>
      <c r="AW5" s="143"/>
      <c r="AY5" s="87" t="s">
        <v>295</v>
      </c>
      <c r="AZ5" s="88">
        <v>0.51100000000000001</v>
      </c>
      <c r="BA5" s="88">
        <f>'Cleaned Data'!J15</f>
        <v>0.44890000000000002</v>
      </c>
      <c r="BB5" s="143"/>
      <c r="BD5" s="87" t="s">
        <v>295</v>
      </c>
      <c r="BE5" s="88">
        <v>0.47799999999999998</v>
      </c>
      <c r="BF5" s="88">
        <f>'Cleaned Data'!J16</f>
        <v>0.46279999999999999</v>
      </c>
      <c r="BG5" s="143"/>
      <c r="BI5" s="87" t="s">
        <v>295</v>
      </c>
      <c r="BJ5" s="88">
        <v>0.47499999999999998</v>
      </c>
      <c r="BK5" s="88">
        <f>'Cleaned Data'!J17</f>
        <v>0.51480000000000004</v>
      </c>
      <c r="BL5" s="143"/>
      <c r="BN5" s="87" t="s">
        <v>295</v>
      </c>
      <c r="BO5" s="88">
        <v>0.48799999999999999</v>
      </c>
      <c r="BP5" s="88">
        <f>'Cleaned Data'!J18</f>
        <v>0.48909999999999998</v>
      </c>
      <c r="BQ5" s="143"/>
      <c r="BS5" s="87" t="s">
        <v>295</v>
      </c>
      <c r="BT5" s="88" t="s">
        <v>294</v>
      </c>
      <c r="BU5" s="88">
        <v>0.5</v>
      </c>
    </row>
    <row r="6" spans="1:73" s="89" customFormat="1" ht="16" x14ac:dyDescent="0.2">
      <c r="A6" s="92" t="s">
        <v>23</v>
      </c>
      <c r="B6" s="93">
        <v>0.52100000000000002</v>
      </c>
      <c r="C6" s="93">
        <f>'Cleaned Data'!K5</f>
        <v>0.50919999999999999</v>
      </c>
      <c r="D6" s="143"/>
      <c r="F6" s="92" t="s">
        <v>23</v>
      </c>
      <c r="G6" s="93">
        <v>0.51</v>
      </c>
      <c r="H6" s="93">
        <f>'Cleaned Data'!K6</f>
        <v>0.50970000000000004</v>
      </c>
      <c r="I6" s="143"/>
      <c r="K6" s="92" t="s">
        <v>23</v>
      </c>
      <c r="L6" s="93">
        <v>0.49399999999999999</v>
      </c>
      <c r="M6" s="93">
        <f>'Cleaned Data'!K7</f>
        <v>0.49270000000000003</v>
      </c>
      <c r="N6" s="143"/>
      <c r="P6" s="92" t="s">
        <v>23</v>
      </c>
      <c r="Q6" s="93">
        <v>0.498</v>
      </c>
      <c r="R6" s="93">
        <f>'Cleaned Data'!K8</f>
        <v>0.54320000000000002</v>
      </c>
      <c r="S6" s="143"/>
      <c r="U6" s="92" t="s">
        <v>23</v>
      </c>
      <c r="V6" s="93">
        <v>0.51200000000000001</v>
      </c>
      <c r="W6" s="93">
        <f>'Cleaned Data'!K9</f>
        <v>0.51370000000000005</v>
      </c>
      <c r="X6" s="143"/>
      <c r="Z6" s="92" t="s">
        <v>23</v>
      </c>
      <c r="AA6" s="93">
        <v>0.46800000000000003</v>
      </c>
      <c r="AB6" s="93">
        <f>'Cleaned Data'!K10</f>
        <v>0.49940000000000001</v>
      </c>
      <c r="AC6" s="143"/>
      <c r="AE6" s="92" t="s">
        <v>23</v>
      </c>
      <c r="AF6" s="93">
        <v>0.52</v>
      </c>
      <c r="AG6" s="93">
        <f>'Cleaned Data'!K11</f>
        <v>0.50890000000000002</v>
      </c>
      <c r="AH6" s="143"/>
      <c r="AJ6" s="92" t="s">
        <v>23</v>
      </c>
      <c r="AK6" s="93">
        <v>0.52800000000000002</v>
      </c>
      <c r="AL6" s="93">
        <f>'Cleaned Data'!K12</f>
        <v>0.5161</v>
      </c>
      <c r="AM6" s="143"/>
      <c r="AO6" s="92" t="s">
        <v>23</v>
      </c>
      <c r="AP6" s="93">
        <v>0.51500000000000001</v>
      </c>
      <c r="AQ6" s="93">
        <f>'Cleaned Data'!K13</f>
        <v>0.51590000000000003</v>
      </c>
      <c r="AR6" s="143"/>
      <c r="AT6" s="92" t="s">
        <v>23</v>
      </c>
      <c r="AU6" s="93">
        <v>0.50900000000000001</v>
      </c>
      <c r="AV6" s="93">
        <f>'Cleaned Data'!K14</f>
        <v>0.51929999999999998</v>
      </c>
      <c r="AW6" s="143"/>
      <c r="AY6" s="92" t="s">
        <v>23</v>
      </c>
      <c r="AZ6" s="93">
        <v>0.48899999999999999</v>
      </c>
      <c r="BA6" s="93">
        <f>'Cleaned Data'!K15</f>
        <v>0.55110000000000003</v>
      </c>
      <c r="BB6" s="143"/>
      <c r="BD6" s="92" t="s">
        <v>23</v>
      </c>
      <c r="BE6" s="93">
        <v>0.52200000000000002</v>
      </c>
      <c r="BF6" s="93">
        <f>'Cleaned Data'!K16</f>
        <v>0.53720000000000001</v>
      </c>
      <c r="BG6" s="143"/>
      <c r="BI6" s="92" t="s">
        <v>23</v>
      </c>
      <c r="BJ6" s="93">
        <v>0.52500000000000002</v>
      </c>
      <c r="BK6" s="93">
        <f>'Cleaned Data'!K17</f>
        <v>0.48520000000000002</v>
      </c>
      <c r="BL6" s="143"/>
      <c r="BN6" s="92" t="s">
        <v>23</v>
      </c>
      <c r="BO6" s="93">
        <v>0.51200000000000001</v>
      </c>
      <c r="BP6" s="93">
        <f>'Cleaned Data'!K18</f>
        <v>0.51090000000000002</v>
      </c>
      <c r="BQ6" s="143"/>
      <c r="BS6" s="92" t="s">
        <v>23</v>
      </c>
      <c r="BT6" s="93" t="s">
        <v>294</v>
      </c>
      <c r="BU6" s="93">
        <v>0.5</v>
      </c>
    </row>
    <row r="7" spans="1:73" s="89" customFormat="1" ht="34.5" customHeight="1" x14ac:dyDescent="0.2">
      <c r="A7" s="87" t="s">
        <v>296</v>
      </c>
      <c r="B7" s="88">
        <v>0.752</v>
      </c>
      <c r="C7" s="88" t="s">
        <v>294</v>
      </c>
      <c r="D7" s="143"/>
      <c r="F7" s="87" t="s">
        <v>296</v>
      </c>
      <c r="G7" s="88">
        <v>0.14899999999999999</v>
      </c>
      <c r="H7" s="88" t="s">
        <v>294</v>
      </c>
      <c r="I7" s="143"/>
      <c r="K7" s="87" t="s">
        <v>296</v>
      </c>
      <c r="L7" s="88">
        <v>0.68200000000000005</v>
      </c>
      <c r="M7" s="88" t="s">
        <v>294</v>
      </c>
      <c r="N7" s="143"/>
      <c r="P7" s="87" t="s">
        <v>296</v>
      </c>
      <c r="Q7" s="88">
        <v>1</v>
      </c>
      <c r="R7" s="88" t="s">
        <v>294</v>
      </c>
      <c r="S7" s="143"/>
      <c r="U7" s="87" t="s">
        <v>296</v>
      </c>
      <c r="V7" s="88">
        <v>1</v>
      </c>
      <c r="W7" s="88" t="s">
        <v>294</v>
      </c>
      <c r="X7" s="143"/>
      <c r="Z7" s="87" t="s">
        <v>296</v>
      </c>
      <c r="AA7" s="88">
        <v>1</v>
      </c>
      <c r="AB7" s="88" t="s">
        <v>294</v>
      </c>
      <c r="AC7" s="143"/>
      <c r="AE7" s="87" t="s">
        <v>296</v>
      </c>
      <c r="AF7" s="88">
        <v>1</v>
      </c>
      <c r="AG7" s="88" t="s">
        <v>294</v>
      </c>
      <c r="AH7" s="143"/>
      <c r="AJ7" s="87" t="s">
        <v>296</v>
      </c>
      <c r="AK7" s="88">
        <v>0.59399999999999997</v>
      </c>
      <c r="AL7" s="88" t="s">
        <v>294</v>
      </c>
      <c r="AM7" s="143"/>
      <c r="AO7" s="87" t="s">
        <v>296</v>
      </c>
      <c r="AP7" s="88">
        <v>8.3000000000000004E-2</v>
      </c>
      <c r="AQ7" s="88" t="s">
        <v>294</v>
      </c>
      <c r="AR7" s="143"/>
      <c r="AT7" s="87" t="s">
        <v>296</v>
      </c>
      <c r="AU7" s="88">
        <v>1</v>
      </c>
      <c r="AV7" s="88" t="s">
        <v>294</v>
      </c>
      <c r="AW7" s="143"/>
      <c r="AY7" s="87" t="s">
        <v>296</v>
      </c>
      <c r="AZ7" s="88">
        <v>1</v>
      </c>
      <c r="BA7" s="88" t="s">
        <v>294</v>
      </c>
      <c r="BB7" s="143"/>
      <c r="BD7" s="87" t="s">
        <v>296</v>
      </c>
      <c r="BE7" s="88">
        <v>1</v>
      </c>
      <c r="BF7" s="88" t="s">
        <v>294</v>
      </c>
      <c r="BG7" s="143"/>
      <c r="BI7" s="87" t="s">
        <v>296</v>
      </c>
      <c r="BJ7" s="88">
        <v>1</v>
      </c>
      <c r="BK7" s="88" t="s">
        <v>294</v>
      </c>
      <c r="BL7" s="143"/>
      <c r="BN7" s="87" t="s">
        <v>296</v>
      </c>
      <c r="BO7" s="88">
        <v>0.25900000000000001</v>
      </c>
      <c r="BP7" s="88" t="s">
        <v>294</v>
      </c>
      <c r="BQ7" s="143"/>
      <c r="BS7" s="87" t="s">
        <v>296</v>
      </c>
      <c r="BT7" s="88">
        <v>0.2</v>
      </c>
      <c r="BU7" s="88" t="s">
        <v>294</v>
      </c>
    </row>
    <row r="8" spans="1:73" ht="16" x14ac:dyDescent="0.2">
      <c r="A8" s="94" t="s">
        <v>297</v>
      </c>
      <c r="B8" s="95">
        <v>11795</v>
      </c>
      <c r="C8" s="133">
        <f>'Cleaned Data'!CG5</f>
        <v>12127</v>
      </c>
      <c r="F8" s="94" t="s">
        <v>297</v>
      </c>
      <c r="G8" s="133">
        <v>104867</v>
      </c>
      <c r="H8" s="133">
        <f>'Cleaned Data'!CG6</f>
        <v>108715</v>
      </c>
      <c r="K8" s="94" t="s">
        <v>297</v>
      </c>
      <c r="L8" s="133">
        <v>13392</v>
      </c>
      <c r="M8" s="133">
        <f>'Cleaned Data'!CG7</f>
        <v>13861</v>
      </c>
      <c r="P8" s="94" t="s">
        <v>297</v>
      </c>
      <c r="Q8" s="133">
        <v>2555</v>
      </c>
      <c r="R8" s="133">
        <f>'Cleaned Data'!CG8</f>
        <v>2565</v>
      </c>
      <c r="U8" s="94" t="s">
        <v>297</v>
      </c>
      <c r="V8" s="133">
        <v>6481</v>
      </c>
      <c r="W8" s="133">
        <f>'Cleaned Data'!CG9</f>
        <v>6737</v>
      </c>
      <c r="Z8" s="94" t="s">
        <v>297</v>
      </c>
      <c r="AA8" s="133">
        <v>4342</v>
      </c>
      <c r="AB8" s="133">
        <f>'Cleaned Data'!CG10</f>
        <v>4985</v>
      </c>
      <c r="AE8" s="94" t="s">
        <v>297</v>
      </c>
      <c r="AF8" s="133">
        <v>5418</v>
      </c>
      <c r="AG8" s="133">
        <f>'Cleaned Data'!CG11</f>
        <v>5302</v>
      </c>
      <c r="AJ8" s="94" t="s">
        <v>297</v>
      </c>
      <c r="AK8" s="133">
        <v>11514</v>
      </c>
      <c r="AL8" s="133">
        <f>'Cleaned Data'!CG12</f>
        <v>11864</v>
      </c>
      <c r="AO8" s="94" t="s">
        <v>297</v>
      </c>
      <c r="AP8" s="133">
        <v>66521</v>
      </c>
      <c r="AQ8" s="133">
        <f>'Cleaned Data'!CG13</f>
        <v>71015</v>
      </c>
      <c r="AT8" s="94" t="s">
        <v>297</v>
      </c>
      <c r="AU8" s="133">
        <v>7758</v>
      </c>
      <c r="AV8" s="133">
        <f>'Cleaned Data'!CG14</f>
        <v>7938</v>
      </c>
      <c r="AY8" s="94" t="s">
        <v>297</v>
      </c>
      <c r="AZ8" s="95">
        <v>597</v>
      </c>
      <c r="BA8" s="95">
        <f>'Cleaned Data'!CG15</f>
        <v>599</v>
      </c>
      <c r="BD8" s="94" t="s">
        <v>297</v>
      </c>
      <c r="BE8" s="133">
        <v>2053</v>
      </c>
      <c r="BF8" s="133">
        <f>'Cleaned Data'!CG16</f>
        <v>1995</v>
      </c>
      <c r="BI8" s="94" t="s">
        <v>297</v>
      </c>
      <c r="BJ8" s="133">
        <v>4953</v>
      </c>
      <c r="BK8" s="139">
        <f>'Cleaned Data'!CG17</f>
        <v>5126</v>
      </c>
      <c r="BN8" s="94" t="s">
        <v>297</v>
      </c>
      <c r="BO8" s="139">
        <v>5500388</v>
      </c>
      <c r="BP8" s="139">
        <f>'Cleaned Data'!CG18</f>
        <v>5820019</v>
      </c>
      <c r="BS8" s="94" t="s">
        <v>297</v>
      </c>
      <c r="BT8" s="95" t="s">
        <v>294</v>
      </c>
      <c r="BU8" s="133">
        <v>218123424</v>
      </c>
    </row>
    <row r="9" spans="1:73" ht="16" x14ac:dyDescent="0.2">
      <c r="A9" s="78" t="s">
        <v>184</v>
      </c>
      <c r="B9" s="79">
        <v>11011</v>
      </c>
      <c r="C9" s="144">
        <f>'Cleaned Data'!CH5</f>
        <v>11095</v>
      </c>
      <c r="F9" s="78" t="s">
        <v>184</v>
      </c>
      <c r="G9" s="144">
        <v>31936</v>
      </c>
      <c r="H9" s="144">
        <f>'Cleaned Data'!CH6</f>
        <v>26560</v>
      </c>
      <c r="K9" s="78" t="s">
        <v>184</v>
      </c>
      <c r="L9" s="144">
        <v>7889</v>
      </c>
      <c r="M9" s="133">
        <f>'Cleaned Data'!CG8</f>
        <v>2565</v>
      </c>
      <c r="P9" s="78" t="s">
        <v>184</v>
      </c>
      <c r="Q9" s="79">
        <v>248</v>
      </c>
      <c r="R9" s="144">
        <v>307</v>
      </c>
      <c r="U9" s="78" t="s">
        <v>184</v>
      </c>
      <c r="V9" s="144">
        <v>7843</v>
      </c>
      <c r="W9" s="144">
        <v>8138</v>
      </c>
      <c r="Z9" s="78" t="s">
        <v>184</v>
      </c>
      <c r="AA9" s="144">
        <v>3483</v>
      </c>
      <c r="AB9" s="144">
        <v>3036</v>
      </c>
      <c r="AE9" s="78" t="s">
        <v>184</v>
      </c>
      <c r="AF9" s="144">
        <v>2035</v>
      </c>
      <c r="AG9" s="144">
        <v>2175</v>
      </c>
      <c r="AJ9" s="78" t="s">
        <v>184</v>
      </c>
      <c r="AK9" s="144">
        <v>8772</v>
      </c>
      <c r="AL9" s="144">
        <v>8938</v>
      </c>
      <c r="AO9" s="78" t="s">
        <v>184</v>
      </c>
      <c r="AP9" s="144">
        <v>119137</v>
      </c>
      <c r="AQ9" s="144">
        <v>115235</v>
      </c>
      <c r="AT9" s="78" t="s">
        <v>184</v>
      </c>
      <c r="AU9" s="144">
        <v>5483</v>
      </c>
      <c r="AV9" s="144">
        <v>5629</v>
      </c>
      <c r="AY9" s="78" t="s">
        <v>184</v>
      </c>
      <c r="AZ9" s="79">
        <v>829</v>
      </c>
      <c r="BA9" s="79">
        <v>822</v>
      </c>
      <c r="BD9" s="78" t="s">
        <v>184</v>
      </c>
      <c r="BE9" s="144">
        <v>2862</v>
      </c>
      <c r="BF9" s="144">
        <v>3104</v>
      </c>
      <c r="BI9" s="78" t="s">
        <v>184</v>
      </c>
      <c r="BJ9" s="144">
        <v>3721</v>
      </c>
      <c r="BK9" s="140">
        <v>3869</v>
      </c>
      <c r="BN9" s="78" t="s">
        <v>184</v>
      </c>
      <c r="BO9" s="140">
        <v>3502283</v>
      </c>
      <c r="BP9" s="140">
        <v>3373948</v>
      </c>
      <c r="BS9" s="78" t="s">
        <v>184</v>
      </c>
      <c r="BT9" s="79" t="s">
        <v>294</v>
      </c>
      <c r="BU9" s="144">
        <v>41288572</v>
      </c>
    </row>
    <row r="10" spans="1:73" ht="16" x14ac:dyDescent="0.2">
      <c r="A10" s="94" t="s">
        <v>298</v>
      </c>
      <c r="B10" s="95" t="s">
        <v>294</v>
      </c>
      <c r="C10" s="133">
        <f>'Cleaned Data'!CM5</f>
        <v>670</v>
      </c>
      <c r="F10" s="94" t="s">
        <v>298</v>
      </c>
      <c r="G10" s="95" t="s">
        <v>294</v>
      </c>
      <c r="H10" s="133">
        <v>10399</v>
      </c>
      <c r="K10" s="94" t="s">
        <v>298</v>
      </c>
      <c r="L10" s="95" t="s">
        <v>294</v>
      </c>
      <c r="M10" s="133">
        <v>1220</v>
      </c>
      <c r="P10" s="94" t="s">
        <v>298</v>
      </c>
      <c r="Q10" s="95" t="s">
        <v>294</v>
      </c>
      <c r="R10" s="133">
        <v>29</v>
      </c>
      <c r="U10" s="94" t="s">
        <v>298</v>
      </c>
      <c r="V10" s="95" t="s">
        <v>294</v>
      </c>
      <c r="W10" s="133">
        <v>236</v>
      </c>
      <c r="Z10" s="94" t="s">
        <v>298</v>
      </c>
      <c r="AA10" s="95" t="s">
        <v>294</v>
      </c>
      <c r="AB10" s="133">
        <v>380</v>
      </c>
      <c r="AE10" s="94" t="s">
        <v>298</v>
      </c>
      <c r="AF10" s="95" t="s">
        <v>294</v>
      </c>
      <c r="AG10" s="133">
        <v>158</v>
      </c>
      <c r="AJ10" s="94" t="s">
        <v>298</v>
      </c>
      <c r="AK10" s="95" t="s">
        <v>294</v>
      </c>
      <c r="AL10" s="133">
        <v>605</v>
      </c>
      <c r="AO10" s="94" t="s">
        <v>298</v>
      </c>
      <c r="AP10" s="95" t="s">
        <v>294</v>
      </c>
      <c r="AQ10" s="133">
        <v>11937</v>
      </c>
      <c r="AT10" s="94" t="s">
        <v>298</v>
      </c>
      <c r="AU10" s="95" t="s">
        <v>294</v>
      </c>
      <c r="AV10" s="133">
        <v>352</v>
      </c>
      <c r="AY10" s="94" t="s">
        <v>298</v>
      </c>
      <c r="AZ10" s="95" t="s">
        <v>294</v>
      </c>
      <c r="BA10" s="95">
        <v>92</v>
      </c>
      <c r="BD10" s="94" t="s">
        <v>298</v>
      </c>
      <c r="BE10" s="95" t="s">
        <v>294</v>
      </c>
      <c r="BF10" s="133">
        <v>74</v>
      </c>
      <c r="BI10" s="94" t="s">
        <v>298</v>
      </c>
      <c r="BJ10" s="95" t="s">
        <v>294</v>
      </c>
      <c r="BK10" s="139">
        <v>323</v>
      </c>
      <c r="BN10" s="94" t="s">
        <v>298</v>
      </c>
      <c r="BO10" s="95" t="s">
        <v>294</v>
      </c>
      <c r="BP10" s="133">
        <v>638881</v>
      </c>
      <c r="BS10" s="94" t="s">
        <v>298</v>
      </c>
      <c r="BT10" s="95" t="s">
        <v>294</v>
      </c>
      <c r="BU10" s="133">
        <v>29142780</v>
      </c>
    </row>
    <row r="11" spans="1:73" ht="16" x14ac:dyDescent="0.2">
      <c r="A11" s="78" t="s">
        <v>57</v>
      </c>
      <c r="B11" s="136">
        <v>28.5</v>
      </c>
      <c r="C11" s="79">
        <f>'Cleaned Data'!U5</f>
        <v>0</v>
      </c>
      <c r="F11" s="78" t="s">
        <v>57</v>
      </c>
      <c r="G11" s="136">
        <v>9.1999999999999993</v>
      </c>
      <c r="H11" s="79">
        <v>2.41</v>
      </c>
      <c r="K11" s="78" t="s">
        <v>57</v>
      </c>
      <c r="L11" s="136">
        <v>37.799999999999997</v>
      </c>
      <c r="M11" s="79">
        <v>46.69</v>
      </c>
      <c r="P11" s="78" t="s">
        <v>57</v>
      </c>
      <c r="Q11" s="136">
        <v>33.700000000000003</v>
      </c>
      <c r="R11" s="79">
        <v>0</v>
      </c>
      <c r="U11" s="78" t="s">
        <v>57</v>
      </c>
      <c r="V11" s="136">
        <v>30.2</v>
      </c>
      <c r="W11" s="79">
        <v>20.13</v>
      </c>
      <c r="Z11" s="78" t="s">
        <v>57</v>
      </c>
      <c r="AA11" s="136">
        <v>30.8</v>
      </c>
      <c r="AB11" s="79">
        <v>0</v>
      </c>
      <c r="AE11" s="78" t="s">
        <v>57</v>
      </c>
      <c r="AF11" s="136">
        <v>13.9</v>
      </c>
      <c r="AG11" s="79">
        <v>0</v>
      </c>
      <c r="AJ11" s="78" t="s">
        <v>57</v>
      </c>
      <c r="AK11" s="136">
        <v>35.1</v>
      </c>
      <c r="AL11" s="79">
        <v>0</v>
      </c>
      <c r="AO11" s="78" t="s">
        <v>57</v>
      </c>
      <c r="AP11" s="136">
        <v>32</v>
      </c>
      <c r="AQ11" s="79">
        <v>27.9</v>
      </c>
      <c r="AT11" s="78" t="s">
        <v>57</v>
      </c>
      <c r="AU11" s="136">
        <v>43.8</v>
      </c>
      <c r="AV11" s="79">
        <v>0</v>
      </c>
      <c r="AY11" s="78" t="s">
        <v>57</v>
      </c>
      <c r="AZ11" s="79">
        <v>0</v>
      </c>
      <c r="BA11" s="79">
        <v>0</v>
      </c>
      <c r="BD11" s="78" t="s">
        <v>57</v>
      </c>
      <c r="BE11" s="136">
        <v>28.8</v>
      </c>
      <c r="BF11" s="79">
        <v>0</v>
      </c>
      <c r="BI11" s="78" t="s">
        <v>57</v>
      </c>
      <c r="BJ11" s="136">
        <v>26.6</v>
      </c>
      <c r="BK11" s="79">
        <v>0</v>
      </c>
      <c r="BN11" s="78" t="s">
        <v>57</v>
      </c>
      <c r="BO11" s="136">
        <v>19.600000000000001</v>
      </c>
      <c r="BP11" s="138">
        <v>12.67</v>
      </c>
      <c r="BS11" s="78" t="s">
        <v>57</v>
      </c>
      <c r="BT11" s="79" t="s">
        <v>294</v>
      </c>
      <c r="BU11" s="138">
        <v>9.6300000000000008</v>
      </c>
    </row>
    <row r="12" spans="1:73" x14ac:dyDescent="0.2">
      <c r="A12" s="51"/>
      <c r="B12" s="51"/>
      <c r="C12" s="51"/>
      <c r="F12" s="51"/>
      <c r="G12" s="51"/>
      <c r="H12" s="51"/>
      <c r="K12" s="51"/>
      <c r="L12" s="51"/>
      <c r="M12" s="51"/>
      <c r="P12" s="51"/>
      <c r="Q12" s="51"/>
      <c r="R12" s="51"/>
      <c r="U12" s="51"/>
      <c r="V12" s="51"/>
      <c r="W12" s="51"/>
      <c r="Z12" s="51"/>
      <c r="AA12" s="51"/>
      <c r="AB12" s="51"/>
      <c r="AE12" s="51"/>
      <c r="AF12" s="51"/>
      <c r="AG12" s="51"/>
      <c r="AJ12" s="51"/>
      <c r="AK12" s="51"/>
      <c r="AL12" s="51"/>
      <c r="AO12" s="51"/>
      <c r="AP12" s="51"/>
      <c r="AQ12" s="51"/>
      <c r="AT12" s="51"/>
      <c r="AU12" s="51"/>
      <c r="AV12" s="51"/>
      <c r="AY12" s="51"/>
      <c r="AZ12" s="51"/>
      <c r="BA12" s="51"/>
      <c r="BD12" s="51"/>
      <c r="BE12" s="51"/>
      <c r="BF12" s="51"/>
      <c r="BI12" s="51"/>
      <c r="BJ12" s="51"/>
      <c r="BK12" s="51"/>
      <c r="BN12" s="51"/>
      <c r="BO12" s="51"/>
      <c r="BP12" s="51"/>
      <c r="BS12" s="51"/>
      <c r="BT12" s="51"/>
      <c r="BU12" s="51"/>
    </row>
    <row r="13" spans="1:73" ht="32.25" customHeight="1" x14ac:dyDescent="0.2">
      <c r="A13" s="119" t="s">
        <v>0</v>
      </c>
      <c r="B13" s="84"/>
      <c r="C13" s="84"/>
      <c r="F13" s="83" t="s">
        <v>0</v>
      </c>
      <c r="G13" s="84"/>
      <c r="H13" s="84"/>
      <c r="K13" s="83" t="s">
        <v>0</v>
      </c>
      <c r="L13" s="84"/>
      <c r="M13" s="84"/>
      <c r="P13" s="83" t="s">
        <v>0</v>
      </c>
      <c r="Q13" s="84"/>
      <c r="R13" s="84"/>
      <c r="U13" s="83" t="s">
        <v>0</v>
      </c>
      <c r="V13" s="84"/>
      <c r="W13" s="84"/>
      <c r="Z13" s="83" t="s">
        <v>0</v>
      </c>
      <c r="AA13" s="84"/>
      <c r="AB13" s="84"/>
      <c r="AE13" s="83" t="s">
        <v>0</v>
      </c>
      <c r="AF13" s="84"/>
      <c r="AG13" s="84"/>
      <c r="AJ13" s="83" t="s">
        <v>0</v>
      </c>
      <c r="AK13" s="84"/>
      <c r="AL13" s="84"/>
      <c r="AO13" s="83" t="s">
        <v>0</v>
      </c>
      <c r="AP13" s="84"/>
      <c r="AQ13" s="84"/>
      <c r="AT13" s="83" t="s">
        <v>0</v>
      </c>
      <c r="AU13" s="84"/>
      <c r="AV13" s="84"/>
      <c r="AY13" s="83" t="s">
        <v>0</v>
      </c>
      <c r="AZ13" s="84"/>
      <c r="BA13" s="84"/>
      <c r="BD13" s="83" t="s">
        <v>0</v>
      </c>
      <c r="BE13" s="84"/>
      <c r="BF13" s="84"/>
      <c r="BI13" s="83" t="s">
        <v>0</v>
      </c>
      <c r="BJ13" s="84"/>
      <c r="BK13" s="84"/>
      <c r="BN13" s="83" t="s">
        <v>0</v>
      </c>
      <c r="BO13" s="84"/>
      <c r="BP13" s="84"/>
      <c r="BS13" s="83" t="s">
        <v>0</v>
      </c>
      <c r="BT13" s="84"/>
      <c r="BU13" s="84"/>
    </row>
    <row r="14" spans="1:73" s="89" customFormat="1" ht="16" x14ac:dyDescent="0.2">
      <c r="A14" s="97" t="s">
        <v>299</v>
      </c>
      <c r="B14" s="98">
        <v>0.19800000000000001</v>
      </c>
      <c r="C14" s="93">
        <f>'Cleaned Data'!Y5</f>
        <v>0.19800000000000001</v>
      </c>
      <c r="D14" s="143"/>
      <c r="F14" s="97" t="s">
        <v>299</v>
      </c>
      <c r="G14" s="98">
        <v>0.126</v>
      </c>
      <c r="H14" s="93">
        <v>0.19800000000000001</v>
      </c>
      <c r="I14" s="143"/>
      <c r="K14" s="97" t="s">
        <v>299</v>
      </c>
      <c r="L14" s="98">
        <v>0.23599999999999999</v>
      </c>
      <c r="M14" s="93">
        <v>0.23599999999999999</v>
      </c>
      <c r="N14" s="143"/>
      <c r="P14" s="97" t="s">
        <v>299</v>
      </c>
      <c r="Q14" s="98">
        <v>0.20799999999999999</v>
      </c>
      <c r="R14" s="93">
        <v>0.20799999999999999</v>
      </c>
      <c r="S14" s="143"/>
      <c r="U14" s="97" t="s">
        <v>299</v>
      </c>
      <c r="V14" s="98">
        <v>0.22500000000000001</v>
      </c>
      <c r="W14" s="93">
        <v>0.22500000000000001</v>
      </c>
      <c r="X14" s="143"/>
      <c r="Z14" s="97" t="s">
        <v>299</v>
      </c>
      <c r="AA14" s="98">
        <v>0.25600000000000001</v>
      </c>
      <c r="AB14" s="93">
        <v>0.25600000000000001</v>
      </c>
      <c r="AC14" s="143"/>
      <c r="AE14" s="97" t="s">
        <v>299</v>
      </c>
      <c r="AF14" s="98">
        <v>0.214</v>
      </c>
      <c r="AG14" s="93">
        <v>0.214</v>
      </c>
      <c r="AH14" s="143"/>
      <c r="AJ14" s="97" t="s">
        <v>299</v>
      </c>
      <c r="AK14" s="98">
        <v>0.20799999999999999</v>
      </c>
      <c r="AL14" s="93">
        <v>0.21</v>
      </c>
      <c r="AM14" s="143"/>
      <c r="AO14" s="97" t="s">
        <v>299</v>
      </c>
      <c r="AP14" s="98">
        <v>0.19600000000000001</v>
      </c>
      <c r="AQ14" s="93">
        <v>0.19600000000000001</v>
      </c>
      <c r="AR14" s="143"/>
      <c r="AT14" s="97" t="s">
        <v>299</v>
      </c>
      <c r="AU14" s="98">
        <v>0.19900000000000001</v>
      </c>
      <c r="AV14" s="93">
        <v>0.15629999999999999</v>
      </c>
      <c r="AW14" s="143"/>
      <c r="AY14" s="97" t="s">
        <v>299</v>
      </c>
      <c r="AZ14" s="98">
        <v>0.222</v>
      </c>
      <c r="BA14" s="93">
        <v>0.222</v>
      </c>
      <c r="BB14" s="143"/>
      <c r="BD14" s="97" t="s">
        <v>299</v>
      </c>
      <c r="BE14" s="98">
        <v>0.23799999999999999</v>
      </c>
      <c r="BF14" s="93">
        <v>0.23799999999999999</v>
      </c>
      <c r="BG14" s="143"/>
      <c r="BI14" s="97" t="s">
        <v>299</v>
      </c>
      <c r="BJ14" s="98">
        <v>0.217</v>
      </c>
      <c r="BK14" s="93">
        <v>0.217</v>
      </c>
      <c r="BL14" s="143"/>
      <c r="BN14" s="97" t="s">
        <v>299</v>
      </c>
      <c r="BO14" s="98">
        <v>0.156</v>
      </c>
      <c r="BP14" s="93">
        <v>0.16</v>
      </c>
      <c r="BQ14" s="143"/>
      <c r="BS14" s="97" t="s">
        <v>299</v>
      </c>
      <c r="BT14" s="98">
        <v>0.15</v>
      </c>
      <c r="BU14" s="93">
        <v>0.14000000000000001</v>
      </c>
    </row>
    <row r="15" spans="1:73" s="89" customFormat="1" ht="32" x14ac:dyDescent="0.2">
      <c r="A15" s="87" t="s">
        <v>300</v>
      </c>
      <c r="B15" s="88">
        <v>0.14299999999999999</v>
      </c>
      <c r="C15" s="88">
        <f>'Cleaned Data'!AA5</f>
        <v>0.1426</v>
      </c>
      <c r="D15" s="143"/>
      <c r="F15" s="87" t="s">
        <v>300</v>
      </c>
      <c r="G15" s="88">
        <v>0.16500000000000001</v>
      </c>
      <c r="H15" s="88">
        <v>0.1426</v>
      </c>
      <c r="I15" s="143"/>
      <c r="K15" s="87" t="s">
        <v>300</v>
      </c>
      <c r="L15" s="88">
        <v>0.14699999999999999</v>
      </c>
      <c r="M15" s="88">
        <v>0.1469</v>
      </c>
      <c r="N15" s="143"/>
      <c r="P15" s="87" t="s">
        <v>300</v>
      </c>
      <c r="Q15" s="88">
        <v>0.159</v>
      </c>
      <c r="R15" s="88">
        <v>0.159</v>
      </c>
      <c r="S15" s="143"/>
      <c r="U15" s="87" t="s">
        <v>300</v>
      </c>
      <c r="V15" s="88">
        <v>0.13400000000000001</v>
      </c>
      <c r="W15" s="88">
        <v>0.13389999999999999</v>
      </c>
      <c r="X15" s="143"/>
      <c r="Z15" s="87" t="s">
        <v>300</v>
      </c>
      <c r="AA15" s="88">
        <v>0.13500000000000001</v>
      </c>
      <c r="AB15" s="88">
        <v>0.1353</v>
      </c>
      <c r="AC15" s="143"/>
      <c r="AE15" s="87" t="s">
        <v>300</v>
      </c>
      <c r="AF15" s="88">
        <v>0.13700000000000001</v>
      </c>
      <c r="AG15" s="88">
        <v>0.1368</v>
      </c>
      <c r="AH15" s="143"/>
      <c r="AJ15" s="87" t="s">
        <v>300</v>
      </c>
      <c r="AK15" s="88">
        <v>0.13900000000000001</v>
      </c>
      <c r="AL15" s="88">
        <v>0.14000000000000001</v>
      </c>
      <c r="AM15" s="143"/>
      <c r="AO15" s="87" t="s">
        <v>300</v>
      </c>
      <c r="AP15" s="88">
        <v>0.156</v>
      </c>
      <c r="AQ15" s="88">
        <v>0.15629999999999999</v>
      </c>
      <c r="AR15" s="143"/>
      <c r="AT15" s="87" t="s">
        <v>300</v>
      </c>
      <c r="AU15" s="88">
        <v>0.14499999999999999</v>
      </c>
      <c r="AV15" s="88">
        <v>0.1452</v>
      </c>
      <c r="AW15" s="143"/>
      <c r="AY15" s="87" t="s">
        <v>300</v>
      </c>
      <c r="AZ15" s="88">
        <v>0.11700000000000001</v>
      </c>
      <c r="BA15" s="88">
        <v>0.1166</v>
      </c>
      <c r="BB15" s="143"/>
      <c r="BD15" s="87" t="s">
        <v>300</v>
      </c>
      <c r="BE15" s="88">
        <v>0.122</v>
      </c>
      <c r="BF15" s="88">
        <v>0.1216</v>
      </c>
      <c r="BG15" s="143"/>
      <c r="BI15" s="87" t="s">
        <v>300</v>
      </c>
      <c r="BJ15" s="88">
        <v>0.13</v>
      </c>
      <c r="BK15" s="88">
        <v>0.12989999999999999</v>
      </c>
      <c r="BL15" s="143"/>
      <c r="BN15" s="87" t="s">
        <v>300</v>
      </c>
      <c r="BO15" s="88">
        <v>0.16600000000000001</v>
      </c>
      <c r="BP15" s="88">
        <v>0.17</v>
      </c>
      <c r="BQ15" s="143"/>
      <c r="BS15" s="87" t="s">
        <v>300</v>
      </c>
      <c r="BT15" s="88">
        <v>0.18</v>
      </c>
      <c r="BU15" s="88">
        <v>0.18</v>
      </c>
    </row>
    <row r="16" spans="1:73" ht="16" x14ac:dyDescent="0.2">
      <c r="A16" s="94" t="s">
        <v>301</v>
      </c>
      <c r="B16" s="95">
        <v>513</v>
      </c>
      <c r="C16" s="95" t="str">
        <f>'Cleaned Data'!AL5</f>
        <v>&lt;10</v>
      </c>
      <c r="F16" s="94" t="s">
        <v>301</v>
      </c>
      <c r="G16" s="95">
        <v>327</v>
      </c>
      <c r="H16" s="95">
        <v>7.4</v>
      </c>
      <c r="K16" s="94" t="s">
        <v>301</v>
      </c>
      <c r="L16" s="95">
        <v>327</v>
      </c>
      <c r="M16" s="95" t="s">
        <v>213</v>
      </c>
      <c r="P16" s="94" t="s">
        <v>301</v>
      </c>
      <c r="Q16" s="95">
        <v>279</v>
      </c>
      <c r="R16" s="95" t="s">
        <v>213</v>
      </c>
      <c r="U16" s="94" t="s">
        <v>301</v>
      </c>
      <c r="V16" s="95">
        <v>370</v>
      </c>
      <c r="W16" s="95" t="s">
        <v>213</v>
      </c>
      <c r="Z16" s="94" t="s">
        <v>301</v>
      </c>
      <c r="AA16" s="95">
        <v>391</v>
      </c>
      <c r="AB16" s="95" t="s">
        <v>213</v>
      </c>
      <c r="AE16" s="94" t="s">
        <v>301</v>
      </c>
      <c r="AF16" s="95">
        <v>298</v>
      </c>
      <c r="AG16" s="95" t="s">
        <v>213</v>
      </c>
      <c r="AJ16" s="94" t="s">
        <v>301</v>
      </c>
      <c r="AK16" s="95">
        <v>291</v>
      </c>
      <c r="AL16" s="95" t="s">
        <v>213</v>
      </c>
      <c r="AO16" s="94" t="s">
        <v>301</v>
      </c>
      <c r="AP16" s="95">
        <v>897</v>
      </c>
      <c r="AQ16" s="95">
        <v>40.4</v>
      </c>
      <c r="AT16" s="94" t="s">
        <v>301</v>
      </c>
      <c r="AU16" s="95">
        <v>323</v>
      </c>
      <c r="AV16" s="95" t="s">
        <v>302</v>
      </c>
      <c r="AY16" s="94" t="s">
        <v>301</v>
      </c>
      <c r="AZ16" s="95">
        <v>510</v>
      </c>
      <c r="BA16" s="95">
        <v>0</v>
      </c>
      <c r="BD16" s="94" t="s">
        <v>301</v>
      </c>
      <c r="BE16" s="95">
        <v>424</v>
      </c>
      <c r="BF16" s="95">
        <v>0</v>
      </c>
      <c r="BI16" s="94" t="s">
        <v>301</v>
      </c>
      <c r="BJ16" s="95">
        <v>331</v>
      </c>
      <c r="BK16" s="95" t="s">
        <v>302</v>
      </c>
      <c r="BN16" s="94" t="s">
        <v>301</v>
      </c>
      <c r="BO16" s="95">
        <v>657</v>
      </c>
      <c r="BP16" s="95">
        <v>27.4</v>
      </c>
      <c r="BS16" s="94" t="s">
        <v>301</v>
      </c>
      <c r="BT16" s="95" t="s">
        <v>294</v>
      </c>
      <c r="BU16" s="95">
        <v>13.3</v>
      </c>
    </row>
    <row r="17" spans="1:73" ht="16" x14ac:dyDescent="0.2">
      <c r="A17" s="78" t="s">
        <v>303</v>
      </c>
      <c r="B17" s="79">
        <v>691.1</v>
      </c>
      <c r="C17" s="79">
        <v>692.96</v>
      </c>
      <c r="F17" s="78" t="s">
        <v>303</v>
      </c>
      <c r="G17" s="136">
        <v>317.60000000000002</v>
      </c>
      <c r="H17" s="136">
        <v>387.89</v>
      </c>
      <c r="K17" s="78" t="s">
        <v>303</v>
      </c>
      <c r="L17" s="79">
        <v>717.6</v>
      </c>
      <c r="M17" s="79">
        <v>937.68</v>
      </c>
      <c r="P17" s="78" t="s">
        <v>303</v>
      </c>
      <c r="Q17" s="79">
        <v>274.10000000000002</v>
      </c>
      <c r="R17" s="79">
        <v>306.23</v>
      </c>
      <c r="U17" s="78" t="s">
        <v>303</v>
      </c>
      <c r="V17" s="79">
        <v>657</v>
      </c>
      <c r="W17" s="79">
        <v>901.14</v>
      </c>
      <c r="Z17" s="78" t="s">
        <v>303</v>
      </c>
      <c r="AA17" s="79">
        <v>439.9</v>
      </c>
      <c r="AB17" s="79">
        <v>448.84</v>
      </c>
      <c r="AE17" s="78" t="s">
        <v>303</v>
      </c>
      <c r="AF17" s="79">
        <v>296.8</v>
      </c>
      <c r="AG17" s="79">
        <v>267.82</v>
      </c>
      <c r="AJ17" s="78" t="s">
        <v>303</v>
      </c>
      <c r="AK17" s="79">
        <v>799.7</v>
      </c>
      <c r="AL17" s="79">
        <v>907.29</v>
      </c>
      <c r="AO17" s="78" t="s">
        <v>303</v>
      </c>
      <c r="AP17" s="144">
        <v>1096.4000000000001</v>
      </c>
      <c r="AQ17" s="144">
        <v>1142.57</v>
      </c>
      <c r="AT17" s="78" t="s">
        <v>303</v>
      </c>
      <c r="AU17" s="79">
        <v>577.70000000000005</v>
      </c>
      <c r="AV17" s="79">
        <v>701.15</v>
      </c>
      <c r="AY17" s="78" t="s">
        <v>303</v>
      </c>
      <c r="AZ17" s="79">
        <v>577.70000000000005</v>
      </c>
      <c r="BA17" s="79">
        <v>625</v>
      </c>
      <c r="BD17" s="78" t="s">
        <v>303</v>
      </c>
      <c r="BE17" s="79">
        <v>763.4</v>
      </c>
      <c r="BF17" s="79">
        <v>969.93</v>
      </c>
      <c r="BI17" s="78" t="s">
        <v>303</v>
      </c>
      <c r="BJ17" s="79">
        <v>662.3</v>
      </c>
      <c r="BK17" s="79">
        <v>718.82</v>
      </c>
      <c r="BN17" s="78" t="s">
        <v>303</v>
      </c>
      <c r="BO17" s="79">
        <v>629.1</v>
      </c>
      <c r="BP17" s="136">
        <v>665.84</v>
      </c>
      <c r="BS17" s="78" t="s">
        <v>303</v>
      </c>
      <c r="BT17" s="79" t="s">
        <v>294</v>
      </c>
      <c r="BU17" s="79">
        <v>495</v>
      </c>
    </row>
    <row r="18" spans="1:73" s="89" customFormat="1" ht="16" x14ac:dyDescent="0.2">
      <c r="A18" s="92" t="s">
        <v>304</v>
      </c>
      <c r="B18" s="93">
        <v>0.39800000000000002</v>
      </c>
      <c r="C18" s="93">
        <f>'Cleaned Data'!AT5</f>
        <v>0.3</v>
      </c>
      <c r="D18" s="143"/>
      <c r="F18" s="92" t="s">
        <v>304</v>
      </c>
      <c r="G18" s="93">
        <v>0.34399999999999997</v>
      </c>
      <c r="H18" s="93">
        <v>0.33300000000000002</v>
      </c>
      <c r="I18" s="143"/>
      <c r="K18" s="92" t="s">
        <v>304</v>
      </c>
      <c r="L18" s="93">
        <v>0.41299999999999998</v>
      </c>
      <c r="M18" s="93">
        <v>0.29299999999999998</v>
      </c>
      <c r="N18" s="143"/>
      <c r="P18" s="92" t="s">
        <v>304</v>
      </c>
      <c r="Q18" s="93">
        <v>0.35199999999999998</v>
      </c>
      <c r="R18" s="93">
        <v>0.17699999999999999</v>
      </c>
      <c r="S18" s="143"/>
      <c r="U18" s="92" t="s">
        <v>304</v>
      </c>
      <c r="V18" s="93">
        <v>0.436</v>
      </c>
      <c r="W18" s="93">
        <v>0.24399999999999999</v>
      </c>
      <c r="X18" s="143"/>
      <c r="Z18" s="92" t="s">
        <v>304</v>
      </c>
      <c r="AA18" s="93">
        <v>0.434</v>
      </c>
      <c r="AB18" s="93">
        <v>0.21299999999999999</v>
      </c>
      <c r="AC18" s="143"/>
      <c r="AE18" s="92" t="s">
        <v>304</v>
      </c>
      <c r="AF18" s="93">
        <v>0.38600000000000001</v>
      </c>
      <c r="AG18" s="93">
        <v>0.19500000000000001</v>
      </c>
      <c r="AH18" s="143"/>
      <c r="AJ18" s="92" t="s">
        <v>304</v>
      </c>
      <c r="AK18" s="93">
        <v>0.39400000000000002</v>
      </c>
      <c r="AL18" s="93">
        <v>0.27</v>
      </c>
      <c r="AM18" s="143"/>
      <c r="AO18" s="92" t="s">
        <v>304</v>
      </c>
      <c r="AP18" s="93">
        <v>0.40699999999999997</v>
      </c>
      <c r="AQ18" s="93">
        <v>0.38100000000000001</v>
      </c>
      <c r="AR18" s="143"/>
      <c r="AT18" s="92" t="s">
        <v>304</v>
      </c>
      <c r="AU18" s="93">
        <v>0.38900000000000001</v>
      </c>
      <c r="AV18" s="93">
        <v>0.248</v>
      </c>
      <c r="AW18" s="143"/>
      <c r="AY18" s="92" t="s">
        <v>304</v>
      </c>
      <c r="AZ18" s="93">
        <v>0.41899999999999998</v>
      </c>
      <c r="BA18" s="93">
        <v>0.17</v>
      </c>
      <c r="BB18" s="143"/>
      <c r="BD18" s="92" t="s">
        <v>304</v>
      </c>
      <c r="BE18" s="93">
        <v>0.43099999999999999</v>
      </c>
      <c r="BF18" s="93">
        <v>0.20499999999999999</v>
      </c>
      <c r="BG18" s="143"/>
      <c r="BI18" s="92" t="s">
        <v>304</v>
      </c>
      <c r="BJ18" s="93">
        <v>0.41799999999999998</v>
      </c>
      <c r="BK18" s="93">
        <v>0.193</v>
      </c>
      <c r="BL18" s="143"/>
      <c r="BN18" s="92" t="s">
        <v>304</v>
      </c>
      <c r="BO18" s="93">
        <v>0.34200000000000003</v>
      </c>
      <c r="BP18" s="93">
        <v>0.29699999999999999</v>
      </c>
      <c r="BQ18" s="143"/>
      <c r="BS18" s="92" t="s">
        <v>304</v>
      </c>
      <c r="BT18" s="93">
        <v>0.34</v>
      </c>
      <c r="BU18" s="93">
        <v>0.3</v>
      </c>
    </row>
    <row r="19" spans="1:73" x14ac:dyDescent="0.2">
      <c r="A19" s="52"/>
      <c r="B19" s="51"/>
      <c r="C19" s="51"/>
      <c r="F19" s="52"/>
      <c r="G19" s="51"/>
      <c r="H19" s="51"/>
      <c r="K19" s="52"/>
      <c r="L19" s="51"/>
      <c r="M19" s="103"/>
      <c r="P19" s="52"/>
      <c r="Q19" s="51"/>
      <c r="R19" s="51"/>
      <c r="U19" s="52"/>
      <c r="V19" s="51"/>
      <c r="W19" s="103"/>
      <c r="Z19" s="52"/>
      <c r="AA19" s="51"/>
      <c r="AB19" s="51"/>
      <c r="AE19" s="52"/>
      <c r="AF19" s="51"/>
      <c r="AG19" s="51"/>
      <c r="AJ19" s="52"/>
      <c r="AK19" s="51"/>
      <c r="AL19" s="51"/>
      <c r="AO19" s="52"/>
      <c r="AP19" s="51"/>
      <c r="AQ19" s="51"/>
      <c r="AT19" s="52"/>
      <c r="AU19" s="51"/>
      <c r="AV19" s="51"/>
      <c r="AY19" s="52"/>
      <c r="AZ19" s="51"/>
      <c r="BA19" s="51"/>
      <c r="BD19" s="52"/>
      <c r="BE19" s="51"/>
      <c r="BF19" s="51"/>
      <c r="BI19" s="52"/>
      <c r="BJ19" s="51"/>
      <c r="BK19" s="51"/>
      <c r="BN19" s="52"/>
      <c r="BO19" s="51"/>
      <c r="BP19" s="103"/>
      <c r="BS19" s="52"/>
      <c r="BT19" s="51"/>
      <c r="BU19" s="51"/>
    </row>
    <row r="20" spans="1:73" x14ac:dyDescent="0.2">
      <c r="A20" s="52"/>
      <c r="B20" s="51"/>
      <c r="C20" s="51"/>
      <c r="F20" s="52"/>
      <c r="G20" s="51"/>
      <c r="H20" s="51"/>
      <c r="K20" s="52"/>
      <c r="L20" s="51"/>
      <c r="M20" s="103"/>
      <c r="P20" s="52"/>
      <c r="Q20" s="51"/>
      <c r="R20" s="51"/>
      <c r="U20" s="52"/>
      <c r="V20" s="51"/>
      <c r="W20" s="103"/>
      <c r="Z20" s="52"/>
      <c r="AA20" s="51"/>
      <c r="AB20" s="51"/>
      <c r="AE20" s="52"/>
      <c r="AF20" s="51"/>
      <c r="AG20" s="51"/>
      <c r="AJ20" s="52"/>
      <c r="AK20" s="51"/>
      <c r="AL20" s="51"/>
      <c r="AO20" s="52"/>
      <c r="AP20" s="51"/>
      <c r="AQ20" s="51"/>
      <c r="AT20" s="52"/>
      <c r="AU20" s="51"/>
      <c r="AV20" s="51"/>
      <c r="AY20" s="52"/>
      <c r="AZ20" s="51"/>
      <c r="BA20" s="51"/>
      <c r="BD20" s="52"/>
      <c r="BE20" s="51"/>
      <c r="BF20" s="51"/>
      <c r="BI20" s="52"/>
      <c r="BJ20" s="51"/>
      <c r="BK20" s="51"/>
      <c r="BN20" s="52"/>
      <c r="BO20" s="51"/>
      <c r="BP20" s="103"/>
      <c r="BS20" s="52"/>
      <c r="BT20" s="51"/>
      <c r="BU20" s="51"/>
    </row>
    <row r="21" spans="1:73" ht="20" x14ac:dyDescent="0.2">
      <c r="A21" s="119" t="s">
        <v>3</v>
      </c>
      <c r="B21" s="84"/>
      <c r="C21" s="84"/>
      <c r="F21" s="83" t="s">
        <v>3</v>
      </c>
      <c r="G21" s="84"/>
      <c r="H21" s="84"/>
      <c r="K21" s="83" t="s">
        <v>3</v>
      </c>
      <c r="L21" s="84"/>
      <c r="M21" s="104"/>
      <c r="P21" s="83" t="s">
        <v>3</v>
      </c>
      <c r="Q21" s="84"/>
      <c r="R21" s="84"/>
      <c r="U21" s="83" t="s">
        <v>3</v>
      </c>
      <c r="V21" s="84"/>
      <c r="W21" s="104"/>
      <c r="Z21" s="83" t="s">
        <v>3</v>
      </c>
      <c r="AA21" s="84"/>
      <c r="AB21" s="84"/>
      <c r="AE21" s="83" t="s">
        <v>3</v>
      </c>
      <c r="AF21" s="84"/>
      <c r="AG21" s="84"/>
      <c r="AJ21" s="83" t="s">
        <v>3</v>
      </c>
      <c r="AK21" s="84"/>
      <c r="AL21" s="84"/>
      <c r="AO21" s="83" t="s">
        <v>3</v>
      </c>
      <c r="AP21" s="84"/>
      <c r="AQ21" s="84"/>
      <c r="AT21" s="83" t="s">
        <v>3</v>
      </c>
      <c r="AU21" s="84"/>
      <c r="AV21" s="84"/>
      <c r="AY21" s="83" t="s">
        <v>3</v>
      </c>
      <c r="AZ21" s="84"/>
      <c r="BA21" s="84"/>
      <c r="BD21" s="83" t="s">
        <v>3</v>
      </c>
      <c r="BE21" s="84"/>
      <c r="BF21" s="84"/>
      <c r="BI21" s="83" t="s">
        <v>3</v>
      </c>
      <c r="BJ21" s="84"/>
      <c r="BK21" s="84"/>
      <c r="BN21" s="83" t="s">
        <v>3</v>
      </c>
      <c r="BO21" s="84"/>
      <c r="BP21" s="104"/>
      <c r="BS21" s="83" t="s">
        <v>3</v>
      </c>
      <c r="BT21" s="84"/>
      <c r="BU21" s="84"/>
    </row>
    <row r="22" spans="1:73" ht="32" x14ac:dyDescent="0.2">
      <c r="A22" s="99" t="s">
        <v>305</v>
      </c>
      <c r="B22" s="100" t="s">
        <v>294</v>
      </c>
      <c r="C22" s="95">
        <f>'Cleaned Data'!AX5</f>
        <v>126</v>
      </c>
      <c r="F22" s="99" t="s">
        <v>305</v>
      </c>
      <c r="G22" s="100" t="s">
        <v>294</v>
      </c>
      <c r="H22" s="95">
        <v>396</v>
      </c>
      <c r="K22" s="99" t="s">
        <v>305</v>
      </c>
      <c r="L22" s="100" t="s">
        <v>294</v>
      </c>
      <c r="M22" s="100">
        <v>152</v>
      </c>
      <c r="P22" s="99" t="s">
        <v>305</v>
      </c>
      <c r="Q22" s="100" t="s">
        <v>294</v>
      </c>
      <c r="R22" s="95">
        <v>20</v>
      </c>
      <c r="U22" s="99" t="s">
        <v>305</v>
      </c>
      <c r="V22" s="100" t="s">
        <v>294</v>
      </c>
      <c r="W22" s="100">
        <v>102</v>
      </c>
      <c r="Z22" s="99" t="s">
        <v>305</v>
      </c>
      <c r="AA22" s="100" t="s">
        <v>294</v>
      </c>
      <c r="AB22" s="95">
        <v>31</v>
      </c>
      <c r="AE22" s="99" t="s">
        <v>305</v>
      </c>
      <c r="AF22" s="100" t="s">
        <v>294</v>
      </c>
      <c r="AG22" s="95">
        <v>42</v>
      </c>
      <c r="AJ22" s="99" t="s">
        <v>305</v>
      </c>
      <c r="AK22" s="100" t="s">
        <v>294</v>
      </c>
      <c r="AL22" s="95">
        <v>126</v>
      </c>
      <c r="AO22" s="99" t="s">
        <v>305</v>
      </c>
      <c r="AP22" s="100" t="s">
        <v>294</v>
      </c>
      <c r="AQ22" s="95">
        <v>976</v>
      </c>
      <c r="AT22" s="99" t="s">
        <v>305</v>
      </c>
      <c r="AU22" s="100" t="s">
        <v>294</v>
      </c>
      <c r="AV22" s="95">
        <v>85</v>
      </c>
      <c r="AY22" s="99" t="s">
        <v>305</v>
      </c>
      <c r="AZ22" s="100" t="s">
        <v>294</v>
      </c>
      <c r="BA22" s="95" t="s">
        <v>215</v>
      </c>
      <c r="BD22" s="99" t="s">
        <v>305</v>
      </c>
      <c r="BE22" s="100" t="s">
        <v>294</v>
      </c>
      <c r="BF22" s="95">
        <v>45</v>
      </c>
      <c r="BI22" s="99" t="s">
        <v>305</v>
      </c>
      <c r="BJ22" s="100" t="s">
        <v>294</v>
      </c>
      <c r="BK22" s="95">
        <v>54</v>
      </c>
      <c r="BN22" s="99" t="s">
        <v>305</v>
      </c>
      <c r="BO22" s="100" t="s">
        <v>294</v>
      </c>
      <c r="BP22" s="134">
        <v>40886</v>
      </c>
      <c r="BS22" s="99" t="s">
        <v>305</v>
      </c>
      <c r="BT22" s="100" t="s">
        <v>294</v>
      </c>
      <c r="BU22" s="133">
        <v>1856446</v>
      </c>
    </row>
    <row r="23" spans="1:73" ht="32" x14ac:dyDescent="0.2">
      <c r="A23" s="80" t="s">
        <v>306</v>
      </c>
      <c r="B23" s="81">
        <v>5.2</v>
      </c>
      <c r="C23" s="81">
        <f>'Cleaned Data'!BA5</f>
        <v>5.2</v>
      </c>
      <c r="F23" s="80" t="s">
        <v>306</v>
      </c>
      <c r="G23" s="81">
        <v>4.8</v>
      </c>
      <c r="H23" s="81">
        <v>4.8</v>
      </c>
      <c r="K23" s="80" t="s">
        <v>306</v>
      </c>
      <c r="L23" s="81">
        <v>5.6</v>
      </c>
      <c r="M23" s="81">
        <v>5.6</v>
      </c>
      <c r="P23" s="80" t="s">
        <v>306</v>
      </c>
      <c r="Q23" s="81">
        <v>5.7</v>
      </c>
      <c r="R23" s="81">
        <v>5.7</v>
      </c>
      <c r="U23" s="80" t="s">
        <v>306</v>
      </c>
      <c r="V23" s="81">
        <v>5.7</v>
      </c>
      <c r="W23" s="81">
        <v>5.7</v>
      </c>
      <c r="Z23" s="80" t="s">
        <v>306</v>
      </c>
      <c r="AA23" s="81">
        <v>5.8</v>
      </c>
      <c r="AB23" s="81">
        <v>5.8</v>
      </c>
      <c r="AE23" s="80" t="s">
        <v>306</v>
      </c>
      <c r="AF23" s="81">
        <v>5.7</v>
      </c>
      <c r="AG23" s="81">
        <v>5.7</v>
      </c>
      <c r="AJ23" s="80" t="s">
        <v>306</v>
      </c>
      <c r="AK23" s="81">
        <v>5.5</v>
      </c>
      <c r="AL23" s="81">
        <v>5.5</v>
      </c>
      <c r="AO23" s="80" t="s">
        <v>306</v>
      </c>
      <c r="AP23" s="81">
        <v>5.6</v>
      </c>
      <c r="AQ23" s="81">
        <v>5.6</v>
      </c>
      <c r="AT23" s="80" t="s">
        <v>306</v>
      </c>
      <c r="AU23" s="81">
        <v>5.4</v>
      </c>
      <c r="AV23" s="81">
        <v>5.4</v>
      </c>
      <c r="AY23" s="80" t="s">
        <v>306</v>
      </c>
      <c r="AZ23" s="81">
        <v>5.5</v>
      </c>
      <c r="BA23" s="81">
        <v>5.5</v>
      </c>
      <c r="BD23" s="80" t="s">
        <v>306</v>
      </c>
      <c r="BE23" s="81">
        <v>5.8</v>
      </c>
      <c r="BF23" s="81">
        <v>5.8</v>
      </c>
      <c r="BI23" s="80" t="s">
        <v>306</v>
      </c>
      <c r="BJ23" s="81">
        <v>5.6</v>
      </c>
      <c r="BK23" s="81">
        <v>5.6</v>
      </c>
      <c r="BN23" s="80" t="s">
        <v>306</v>
      </c>
      <c r="BO23" s="81">
        <v>4.8</v>
      </c>
      <c r="BP23" s="81">
        <v>4.8</v>
      </c>
      <c r="BS23" s="80" t="s">
        <v>306</v>
      </c>
      <c r="BT23" s="81">
        <v>4.8</v>
      </c>
      <c r="BU23" s="81">
        <v>4.9000000000000004</v>
      </c>
    </row>
    <row r="24" spans="1:73" s="89" customFormat="1" ht="32" x14ac:dyDescent="0.2">
      <c r="A24" s="148" t="s">
        <v>307</v>
      </c>
      <c r="B24" s="149">
        <v>568.1</v>
      </c>
      <c r="C24" s="150" t="s">
        <v>294</v>
      </c>
      <c r="D24" s="143"/>
      <c r="F24" s="92" t="s">
        <v>307</v>
      </c>
      <c r="G24" s="96">
        <v>318.10000000000002</v>
      </c>
      <c r="H24" s="93" t="s">
        <v>294</v>
      </c>
      <c r="I24" s="143"/>
      <c r="K24" s="92" t="s">
        <v>307</v>
      </c>
      <c r="L24" s="96">
        <v>705.8</v>
      </c>
      <c r="M24" s="93" t="s">
        <v>294</v>
      </c>
      <c r="N24" s="143"/>
      <c r="P24" s="92" t="s">
        <v>307</v>
      </c>
      <c r="Q24" s="96">
        <v>606.6</v>
      </c>
      <c r="R24" s="93" t="s">
        <v>294</v>
      </c>
      <c r="S24" s="143"/>
      <c r="U24" s="92" t="s">
        <v>307</v>
      </c>
      <c r="V24" s="96">
        <v>739.9</v>
      </c>
      <c r="W24" s="93" t="s">
        <v>294</v>
      </c>
      <c r="X24" s="143"/>
      <c r="Z24" s="92" t="s">
        <v>307</v>
      </c>
      <c r="AA24" s="96">
        <v>633.1</v>
      </c>
      <c r="AB24" s="93" t="s">
        <v>294</v>
      </c>
      <c r="AC24" s="143"/>
      <c r="AE24" s="92" t="s">
        <v>307</v>
      </c>
      <c r="AF24" s="96">
        <v>510.2</v>
      </c>
      <c r="AG24" s="93" t="s">
        <v>294</v>
      </c>
      <c r="AH24" s="143"/>
      <c r="AJ24" s="92" t="s">
        <v>307</v>
      </c>
      <c r="AK24" s="96">
        <v>633.4</v>
      </c>
      <c r="AL24" s="93" t="s">
        <v>294</v>
      </c>
      <c r="AM24" s="143"/>
      <c r="AO24" s="92" t="s">
        <v>307</v>
      </c>
      <c r="AP24" s="96">
        <v>632.4</v>
      </c>
      <c r="AQ24" s="93" t="s">
        <v>294</v>
      </c>
      <c r="AR24" s="143"/>
      <c r="AT24" s="92" t="s">
        <v>307</v>
      </c>
      <c r="AU24" s="96">
        <v>643.4</v>
      </c>
      <c r="AV24" s="93" t="s">
        <v>294</v>
      </c>
      <c r="AW24" s="143"/>
      <c r="AY24" s="92" t="s">
        <v>307</v>
      </c>
      <c r="AZ24" s="96">
        <v>616.4</v>
      </c>
      <c r="BA24" s="93" t="s">
        <v>294</v>
      </c>
      <c r="BB24" s="143"/>
      <c r="BD24" s="92" t="s">
        <v>307</v>
      </c>
      <c r="BE24" s="96">
        <v>656.4</v>
      </c>
      <c r="BF24" s="93" t="s">
        <v>294</v>
      </c>
      <c r="BG24" s="143"/>
      <c r="BI24" s="92" t="s">
        <v>307</v>
      </c>
      <c r="BJ24" s="137">
        <v>611</v>
      </c>
      <c r="BK24" s="93" t="s">
        <v>294</v>
      </c>
      <c r="BL24" s="143"/>
      <c r="BN24" s="92" t="s">
        <v>307</v>
      </c>
      <c r="BO24" s="96">
        <v>441.8</v>
      </c>
      <c r="BP24" s="93" t="s">
        <v>294</v>
      </c>
      <c r="BQ24" s="143"/>
      <c r="BS24" s="92" t="s">
        <v>307</v>
      </c>
      <c r="BT24" s="93" t="s">
        <v>294</v>
      </c>
      <c r="BU24" s="93" t="s">
        <v>294</v>
      </c>
    </row>
    <row r="25" spans="1:73" ht="16" x14ac:dyDescent="0.2">
      <c r="A25" s="146" t="s">
        <v>219</v>
      </c>
      <c r="B25" s="147">
        <v>14</v>
      </c>
      <c r="C25" s="147">
        <v>6.9</v>
      </c>
      <c r="F25" s="146" t="s">
        <v>219</v>
      </c>
      <c r="G25" s="147">
        <v>4</v>
      </c>
      <c r="H25" s="147">
        <v>5.0999999999999996</v>
      </c>
      <c r="K25" s="146" t="s">
        <v>219</v>
      </c>
      <c r="L25" s="147">
        <v>0</v>
      </c>
      <c r="M25" s="147">
        <v>8</v>
      </c>
      <c r="P25" s="146" t="s">
        <v>219</v>
      </c>
      <c r="Q25" s="147">
        <v>0</v>
      </c>
      <c r="R25" s="147">
        <v>0</v>
      </c>
      <c r="U25" s="146" t="s">
        <v>219</v>
      </c>
      <c r="V25" s="147">
        <v>0</v>
      </c>
      <c r="W25" s="147">
        <v>8.6999999999999993</v>
      </c>
      <c r="Z25" s="146" t="s">
        <v>219</v>
      </c>
      <c r="AA25" s="147">
        <v>0</v>
      </c>
      <c r="AB25" s="147" t="s">
        <v>308</v>
      </c>
      <c r="AE25" s="146" t="s">
        <v>219</v>
      </c>
      <c r="AF25" s="147">
        <v>0</v>
      </c>
      <c r="AG25" s="147" t="s">
        <v>308</v>
      </c>
      <c r="AJ25" s="146" t="s">
        <v>219</v>
      </c>
      <c r="AK25" s="147">
        <v>11</v>
      </c>
      <c r="AL25" s="147">
        <v>8.8000000000000007</v>
      </c>
      <c r="AO25" s="146" t="s">
        <v>219</v>
      </c>
      <c r="AP25" s="147">
        <v>11</v>
      </c>
      <c r="AQ25" s="147">
        <v>10.1</v>
      </c>
      <c r="AT25" s="146" t="s">
        <v>219</v>
      </c>
      <c r="AU25" s="147">
        <v>0</v>
      </c>
      <c r="AV25" s="147">
        <v>8.9</v>
      </c>
      <c r="AY25" s="146" t="s">
        <v>219</v>
      </c>
      <c r="AZ25" s="147">
        <v>0</v>
      </c>
      <c r="BA25" s="147">
        <v>0</v>
      </c>
      <c r="BD25" s="146" t="s">
        <v>219</v>
      </c>
      <c r="BE25" s="147">
        <v>0</v>
      </c>
      <c r="BF25" s="147" t="s">
        <v>308</v>
      </c>
      <c r="BI25" s="146" t="s">
        <v>219</v>
      </c>
      <c r="BJ25" s="147">
        <v>0</v>
      </c>
      <c r="BK25" s="147" t="s">
        <v>308</v>
      </c>
      <c r="BN25" s="146" t="s">
        <v>219</v>
      </c>
      <c r="BO25" s="147">
        <v>7</v>
      </c>
      <c r="BP25" s="147">
        <v>6.8</v>
      </c>
      <c r="BS25" s="146" t="s">
        <v>219</v>
      </c>
      <c r="BT25" s="147"/>
      <c r="BU25" s="147"/>
    </row>
    <row r="26" spans="1:73" ht="32" x14ac:dyDescent="0.2">
      <c r="A26" s="151" t="s">
        <v>309</v>
      </c>
      <c r="B26" s="156">
        <v>18</v>
      </c>
      <c r="C26" s="152" t="s">
        <v>294</v>
      </c>
      <c r="F26" s="151" t="s">
        <v>309</v>
      </c>
      <c r="G26" s="157">
        <v>0.15</v>
      </c>
      <c r="H26" s="152" t="s">
        <v>294</v>
      </c>
      <c r="K26" s="151" t="s">
        <v>309</v>
      </c>
      <c r="L26" s="157">
        <v>0.19</v>
      </c>
      <c r="M26" s="152" t="s">
        <v>294</v>
      </c>
      <c r="P26" s="151" t="s">
        <v>309</v>
      </c>
      <c r="Q26" s="157">
        <v>0.19</v>
      </c>
      <c r="R26" s="152" t="s">
        <v>294</v>
      </c>
      <c r="U26" s="151" t="s">
        <v>309</v>
      </c>
      <c r="V26" s="157">
        <v>0.19</v>
      </c>
      <c r="W26" s="152" t="s">
        <v>294</v>
      </c>
      <c r="Z26" s="151" t="s">
        <v>309</v>
      </c>
      <c r="AA26" s="157">
        <v>0.2</v>
      </c>
      <c r="AB26" s="152" t="s">
        <v>294</v>
      </c>
      <c r="AE26" s="151" t="s">
        <v>309</v>
      </c>
      <c r="AF26" s="157">
        <v>0.19</v>
      </c>
      <c r="AG26" s="152" t="s">
        <v>294</v>
      </c>
      <c r="AJ26" s="151" t="s">
        <v>309</v>
      </c>
      <c r="AK26" s="157">
        <v>0.18</v>
      </c>
      <c r="AL26" s="152" t="s">
        <v>294</v>
      </c>
      <c r="AO26" s="151" t="s">
        <v>309</v>
      </c>
      <c r="AP26" s="157">
        <v>0.18</v>
      </c>
      <c r="AQ26" s="152" t="s">
        <v>294</v>
      </c>
      <c r="AT26" s="151" t="s">
        <v>309</v>
      </c>
      <c r="AU26" s="157">
        <v>0.18</v>
      </c>
      <c r="AV26" s="152" t="s">
        <v>294</v>
      </c>
      <c r="AY26" s="151" t="s">
        <v>309</v>
      </c>
      <c r="AZ26" s="157">
        <v>0.18</v>
      </c>
      <c r="BA26" s="152" t="s">
        <v>294</v>
      </c>
      <c r="BD26" s="151" t="s">
        <v>309</v>
      </c>
      <c r="BE26" s="157">
        <v>0.19</v>
      </c>
      <c r="BF26" s="152" t="s">
        <v>294</v>
      </c>
      <c r="BI26" s="151" t="s">
        <v>309</v>
      </c>
      <c r="BJ26" s="157">
        <v>0.19</v>
      </c>
      <c r="BK26" s="152" t="s">
        <v>294</v>
      </c>
      <c r="BN26" s="151" t="s">
        <v>309</v>
      </c>
      <c r="BO26" s="157">
        <v>0.15</v>
      </c>
      <c r="BP26" s="152" t="s">
        <v>294</v>
      </c>
      <c r="BS26" s="151" t="s">
        <v>309</v>
      </c>
      <c r="BT26" s="152"/>
      <c r="BU26" s="152"/>
    </row>
    <row r="27" spans="1:73" x14ac:dyDescent="0.2">
      <c r="A27" s="52"/>
      <c r="B27" s="51"/>
      <c r="C27" s="51"/>
      <c r="F27" s="52"/>
      <c r="G27" s="51"/>
      <c r="H27" s="51"/>
      <c r="K27" s="52"/>
      <c r="L27" s="51"/>
      <c r="M27" s="51"/>
      <c r="P27" s="52"/>
      <c r="Q27" s="51"/>
      <c r="R27" s="51"/>
      <c r="U27" s="52"/>
      <c r="V27" s="51"/>
      <c r="W27" s="51"/>
      <c r="Z27" s="52"/>
      <c r="AA27" s="51"/>
      <c r="AB27" s="51"/>
      <c r="AE27" s="52"/>
      <c r="AF27" s="51"/>
      <c r="AG27" s="51"/>
      <c r="AJ27" s="52"/>
      <c r="AK27" s="51"/>
      <c r="AL27" s="51"/>
      <c r="AO27" s="52"/>
      <c r="AP27" s="51"/>
      <c r="AQ27" s="51"/>
      <c r="AT27" s="52"/>
      <c r="AU27" s="51"/>
      <c r="AV27" s="51"/>
      <c r="AY27" s="52"/>
      <c r="AZ27" s="51"/>
      <c r="BA27" s="51"/>
      <c r="BD27" s="52"/>
      <c r="BE27" s="51"/>
      <c r="BF27" s="51"/>
      <c r="BI27" s="52"/>
      <c r="BJ27" s="51"/>
      <c r="BK27" s="51"/>
      <c r="BN27" s="52"/>
      <c r="BO27" s="51"/>
      <c r="BP27" s="51"/>
      <c r="BS27" s="52"/>
      <c r="BT27" s="51"/>
      <c r="BU27" s="51"/>
    </row>
    <row r="28" spans="1:73" x14ac:dyDescent="0.2">
      <c r="A28" s="52"/>
      <c r="B28" s="51"/>
      <c r="C28" s="51"/>
      <c r="F28" s="52"/>
      <c r="G28" s="51"/>
      <c r="H28" s="51"/>
      <c r="K28" s="52"/>
      <c r="L28" s="51"/>
      <c r="M28" s="51"/>
      <c r="P28" s="52"/>
      <c r="Q28" s="51"/>
      <c r="R28" s="51"/>
      <c r="U28" s="52"/>
      <c r="V28" s="51"/>
      <c r="W28" s="51"/>
      <c r="Z28" s="52"/>
      <c r="AA28" s="51"/>
      <c r="AB28" s="51"/>
      <c r="AE28" s="52"/>
      <c r="AF28" s="51"/>
      <c r="AG28" s="51"/>
      <c r="AJ28" s="52"/>
      <c r="AK28" s="51"/>
      <c r="AL28" s="51"/>
      <c r="AO28" s="52"/>
      <c r="AP28" s="51"/>
      <c r="AQ28" s="51"/>
      <c r="AT28" s="52"/>
      <c r="AU28" s="51"/>
      <c r="AV28" s="51"/>
      <c r="AY28" s="52"/>
      <c r="AZ28" s="51"/>
      <c r="BA28" s="51"/>
      <c r="BD28" s="52"/>
      <c r="BE28" s="51"/>
      <c r="BF28" s="51"/>
      <c r="BI28" s="52"/>
      <c r="BJ28" s="51"/>
      <c r="BK28" s="51"/>
      <c r="BN28" s="52"/>
      <c r="BO28" s="51"/>
      <c r="BP28" s="51"/>
      <c r="BS28" s="52"/>
      <c r="BT28" s="51"/>
      <c r="BU28" s="51"/>
    </row>
    <row r="29" spans="1:73" ht="52.5" customHeight="1" x14ac:dyDescent="0.2">
      <c r="A29" s="120" t="s">
        <v>310</v>
      </c>
      <c r="B29" s="51"/>
      <c r="C29" s="51"/>
      <c r="F29" s="82" t="s">
        <v>310</v>
      </c>
      <c r="G29" s="51"/>
      <c r="H29" s="51"/>
      <c r="K29" s="82" t="s">
        <v>310</v>
      </c>
      <c r="L29" s="51"/>
      <c r="M29" s="51"/>
      <c r="P29" s="82" t="s">
        <v>310</v>
      </c>
      <c r="Q29" s="51"/>
      <c r="R29" s="51"/>
      <c r="U29" s="82" t="s">
        <v>310</v>
      </c>
      <c r="V29" s="51"/>
      <c r="W29" s="51"/>
      <c r="Z29" s="82" t="s">
        <v>310</v>
      </c>
      <c r="AA29" s="51"/>
      <c r="AB29" s="51"/>
      <c r="AE29" s="82" t="s">
        <v>310</v>
      </c>
      <c r="AF29" s="51"/>
      <c r="AG29" s="51"/>
      <c r="AJ29" s="82" t="s">
        <v>310</v>
      </c>
      <c r="AK29" s="51"/>
      <c r="AL29" s="51"/>
      <c r="AO29" s="82" t="s">
        <v>310</v>
      </c>
      <c r="AP29" s="51"/>
      <c r="AQ29" s="51"/>
      <c r="AT29" s="82" t="s">
        <v>310</v>
      </c>
      <c r="AU29" s="51"/>
      <c r="AV29" s="51"/>
      <c r="AY29" s="82" t="s">
        <v>310</v>
      </c>
      <c r="AZ29" s="51"/>
      <c r="BA29" s="51"/>
      <c r="BD29" s="82" t="s">
        <v>310</v>
      </c>
      <c r="BE29" s="51"/>
      <c r="BF29" s="51"/>
      <c r="BI29" s="82" t="s">
        <v>310</v>
      </c>
      <c r="BJ29" s="51"/>
      <c r="BK29" s="51"/>
      <c r="BN29" s="82" t="s">
        <v>310</v>
      </c>
      <c r="BO29" s="51"/>
      <c r="BP29" s="51"/>
      <c r="BS29" s="82" t="s">
        <v>310</v>
      </c>
      <c r="BT29" s="51"/>
      <c r="BU29" s="51"/>
    </row>
    <row r="30" spans="1:73" s="89" customFormat="1" ht="29.25" customHeight="1" x14ac:dyDescent="0.2">
      <c r="A30" s="92" t="s">
        <v>82</v>
      </c>
      <c r="B30" s="93">
        <v>0.29499999999999998</v>
      </c>
      <c r="C30" s="93" t="s">
        <v>294</v>
      </c>
      <c r="D30" s="143"/>
      <c r="F30" s="92" t="s">
        <v>82</v>
      </c>
      <c r="G30" s="93">
        <v>8.4000000000000005E-2</v>
      </c>
      <c r="H30" s="93" t="s">
        <v>294</v>
      </c>
      <c r="I30" s="143"/>
      <c r="K30" s="92" t="s">
        <v>82</v>
      </c>
      <c r="L30" s="93">
        <v>0.28000000000000003</v>
      </c>
      <c r="M30" s="93" t="s">
        <v>294</v>
      </c>
      <c r="N30" s="143"/>
      <c r="P30" s="92" t="s">
        <v>82</v>
      </c>
      <c r="Q30" s="93">
        <v>0.186</v>
      </c>
      <c r="R30" s="93" t="s">
        <v>294</v>
      </c>
      <c r="S30" s="143"/>
      <c r="U30" s="92" t="s">
        <v>82</v>
      </c>
      <c r="V30" s="93">
        <v>0.33800000000000002</v>
      </c>
      <c r="W30" s="93" t="s">
        <v>294</v>
      </c>
      <c r="X30" s="143"/>
      <c r="Z30" s="92" t="s">
        <v>82</v>
      </c>
      <c r="AA30" s="93">
        <v>0.34799999999999998</v>
      </c>
      <c r="AB30" s="93" t="s">
        <v>294</v>
      </c>
      <c r="AC30" s="143"/>
      <c r="AE30" s="92" t="s">
        <v>82</v>
      </c>
      <c r="AF30" s="93">
        <v>0.247</v>
      </c>
      <c r="AG30" s="93" t="s">
        <v>294</v>
      </c>
      <c r="AH30" s="143"/>
      <c r="AJ30" s="92" t="s">
        <v>82</v>
      </c>
      <c r="AK30" s="93">
        <v>0.26200000000000001</v>
      </c>
      <c r="AL30" s="93" t="s">
        <v>294</v>
      </c>
      <c r="AM30" s="143"/>
      <c r="AO30" s="92" t="s">
        <v>82</v>
      </c>
      <c r="AP30" s="93">
        <v>0.26400000000000001</v>
      </c>
      <c r="AQ30" s="93" t="s">
        <v>294</v>
      </c>
      <c r="AR30" s="143"/>
      <c r="AT30" s="92" t="s">
        <v>82</v>
      </c>
      <c r="AU30" s="93">
        <v>0.29799999999999999</v>
      </c>
      <c r="AV30" s="93" t="s">
        <v>294</v>
      </c>
      <c r="AW30" s="143"/>
      <c r="AY30" s="92" t="s">
        <v>82</v>
      </c>
      <c r="AZ30" s="93">
        <v>0.307</v>
      </c>
      <c r="BA30" s="93" t="s">
        <v>294</v>
      </c>
      <c r="BB30" s="143"/>
      <c r="BD30" s="92" t="s">
        <v>82</v>
      </c>
      <c r="BE30" s="93">
        <v>0.375</v>
      </c>
      <c r="BF30" s="93" t="s">
        <v>294</v>
      </c>
      <c r="BG30" s="143"/>
      <c r="BI30" s="92" t="s">
        <v>82</v>
      </c>
      <c r="BJ30" s="93">
        <v>0.28199999999999997</v>
      </c>
      <c r="BK30" s="93" t="s">
        <v>294</v>
      </c>
      <c r="BL30" s="143"/>
      <c r="BN30" s="92" t="s">
        <v>82</v>
      </c>
      <c r="BO30" s="93">
        <v>0.17199999999999999</v>
      </c>
      <c r="BP30" s="93" t="s">
        <v>294</v>
      </c>
      <c r="BQ30" s="143"/>
      <c r="BS30" s="92" t="s">
        <v>82</v>
      </c>
      <c r="BT30" s="93">
        <v>0.16</v>
      </c>
      <c r="BU30" s="93" t="s">
        <v>294</v>
      </c>
    </row>
    <row r="31" spans="1:73" s="89" customFormat="1" ht="45.75" customHeight="1" x14ac:dyDescent="0.2">
      <c r="A31" s="87" t="s">
        <v>311</v>
      </c>
      <c r="B31" s="88">
        <v>0.36599999999999999</v>
      </c>
      <c r="C31" s="88" t="s">
        <v>294</v>
      </c>
      <c r="D31" s="143"/>
      <c r="F31" s="87" t="s">
        <v>311</v>
      </c>
      <c r="G31" s="88">
        <v>0.224</v>
      </c>
      <c r="H31" s="88" t="s">
        <v>294</v>
      </c>
      <c r="I31" s="143"/>
      <c r="K31" s="87" t="s">
        <v>311</v>
      </c>
      <c r="L31" s="88">
        <v>0.28899999999999998</v>
      </c>
      <c r="M31" s="88" t="s">
        <v>294</v>
      </c>
      <c r="N31" s="143"/>
      <c r="P31" s="87" t="s">
        <v>311</v>
      </c>
      <c r="Q31" s="88">
        <v>0.35499999999999998</v>
      </c>
      <c r="R31" s="88" t="s">
        <v>294</v>
      </c>
      <c r="S31" s="143"/>
      <c r="U31" s="87" t="s">
        <v>311</v>
      </c>
      <c r="V31" s="88">
        <v>0.40400000000000003</v>
      </c>
      <c r="W31" s="88" t="s">
        <v>294</v>
      </c>
      <c r="X31" s="143"/>
      <c r="Z31" s="87" t="s">
        <v>311</v>
      </c>
      <c r="AA31" s="88">
        <v>0.48799999999999999</v>
      </c>
      <c r="AB31" s="88" t="s">
        <v>294</v>
      </c>
      <c r="AC31" s="143"/>
      <c r="AE31" s="87" t="s">
        <v>311</v>
      </c>
      <c r="AF31" s="88">
        <v>0.27600000000000002</v>
      </c>
      <c r="AG31" s="88" t="s">
        <v>294</v>
      </c>
      <c r="AH31" s="143"/>
      <c r="AJ31" s="87" t="s">
        <v>311</v>
      </c>
      <c r="AK31" s="88">
        <v>0.51900000000000002</v>
      </c>
      <c r="AL31" s="88" t="s">
        <v>294</v>
      </c>
      <c r="AM31" s="143"/>
      <c r="AO31" s="87" t="s">
        <v>311</v>
      </c>
      <c r="AP31" s="88">
        <v>0.51100000000000001</v>
      </c>
      <c r="AQ31" s="88" t="s">
        <v>294</v>
      </c>
      <c r="AR31" s="143"/>
      <c r="AT31" s="87" t="s">
        <v>311</v>
      </c>
      <c r="AU31" s="88">
        <v>0.432</v>
      </c>
      <c r="AV31" s="88" t="s">
        <v>294</v>
      </c>
      <c r="AW31" s="143"/>
      <c r="AY31" s="87" t="s">
        <v>311</v>
      </c>
      <c r="AZ31" s="88">
        <v>0.28899999999999998</v>
      </c>
      <c r="BA31" s="88" t="s">
        <v>294</v>
      </c>
      <c r="BB31" s="143"/>
      <c r="BD31" s="87" t="s">
        <v>311</v>
      </c>
      <c r="BE31" s="88">
        <v>0.502</v>
      </c>
      <c r="BF31" s="88" t="s">
        <v>294</v>
      </c>
      <c r="BG31" s="143"/>
      <c r="BI31" s="87" t="s">
        <v>311</v>
      </c>
      <c r="BJ31" s="88">
        <v>0.35499999999999998</v>
      </c>
      <c r="BK31" s="88" t="s">
        <v>294</v>
      </c>
      <c r="BL31" s="143"/>
      <c r="BN31" s="87" t="s">
        <v>311</v>
      </c>
      <c r="BO31" s="88">
        <v>0.30599999999999999</v>
      </c>
      <c r="BP31" s="88" t="s">
        <v>294</v>
      </c>
      <c r="BQ31" s="143"/>
      <c r="BS31" s="87" t="s">
        <v>311</v>
      </c>
      <c r="BT31" s="88">
        <v>0.25</v>
      </c>
      <c r="BU31" s="88" t="s">
        <v>294</v>
      </c>
    </row>
    <row r="32" spans="1:73" s="89" customFormat="1" ht="34.25" customHeight="1" x14ac:dyDescent="0.2">
      <c r="A32" s="92" t="s">
        <v>312</v>
      </c>
      <c r="B32" s="93" t="s">
        <v>294</v>
      </c>
      <c r="C32" s="93">
        <f>'Cleaned Data'!CX5</f>
        <v>0.27800000000000002</v>
      </c>
      <c r="D32" s="143"/>
      <c r="F32" s="92" t="s">
        <v>312</v>
      </c>
      <c r="G32" s="93" t="s">
        <v>294</v>
      </c>
      <c r="H32" s="93">
        <v>0.1045</v>
      </c>
      <c r="I32" s="143"/>
      <c r="K32" s="92" t="s">
        <v>312</v>
      </c>
      <c r="L32" s="93" t="s">
        <v>294</v>
      </c>
      <c r="M32" s="93">
        <v>0.247</v>
      </c>
      <c r="N32" s="143"/>
      <c r="P32" s="92" t="s">
        <v>312</v>
      </c>
      <c r="Q32" s="93" t="s">
        <v>294</v>
      </c>
      <c r="R32" s="93">
        <v>0.22620000000000001</v>
      </c>
      <c r="S32" s="143"/>
      <c r="U32" s="92" t="s">
        <v>312</v>
      </c>
      <c r="V32" s="93" t="s">
        <v>294</v>
      </c>
      <c r="W32" s="93">
        <v>0.28360000000000002</v>
      </c>
      <c r="X32" s="143"/>
      <c r="Z32" s="92" t="s">
        <v>312</v>
      </c>
      <c r="AA32" s="93" t="s">
        <v>294</v>
      </c>
      <c r="AB32" s="93">
        <v>0.41460000000000002</v>
      </c>
      <c r="AC32" s="143"/>
      <c r="AE32" s="92" t="s">
        <v>312</v>
      </c>
      <c r="AF32" s="93" t="s">
        <v>294</v>
      </c>
      <c r="AG32" s="93">
        <v>0.23150000000000001</v>
      </c>
      <c r="AH32" s="143"/>
      <c r="AJ32" s="92" t="s">
        <v>312</v>
      </c>
      <c r="AK32" s="93" t="s">
        <v>294</v>
      </c>
      <c r="AL32" s="93">
        <v>0.21049999999999999</v>
      </c>
      <c r="AM32" s="143"/>
      <c r="AO32" s="92" t="s">
        <v>312</v>
      </c>
      <c r="AP32" s="93" t="s">
        <v>294</v>
      </c>
      <c r="AQ32" s="93">
        <v>0.25619999999999998</v>
      </c>
      <c r="AR32" s="143"/>
      <c r="AT32" s="92" t="s">
        <v>312</v>
      </c>
      <c r="AU32" s="93" t="s">
        <v>294</v>
      </c>
      <c r="AV32" s="93">
        <v>0.24049999999999999</v>
      </c>
      <c r="AW32" s="143"/>
      <c r="AY32" s="92" t="s">
        <v>312</v>
      </c>
      <c r="AZ32" s="93" t="s">
        <v>294</v>
      </c>
      <c r="BA32" s="93">
        <v>0.1928</v>
      </c>
      <c r="BB32" s="143"/>
      <c r="BD32" s="92" t="s">
        <v>312</v>
      </c>
      <c r="BE32" s="93" t="s">
        <v>294</v>
      </c>
      <c r="BF32" s="93">
        <v>0.24629999999999999</v>
      </c>
      <c r="BG32" s="143"/>
      <c r="BI32" s="92" t="s">
        <v>312</v>
      </c>
      <c r="BJ32" s="93" t="s">
        <v>294</v>
      </c>
      <c r="BK32" s="93">
        <v>0.25819999999999999</v>
      </c>
      <c r="BL32" s="143"/>
      <c r="BN32" s="92" t="s">
        <v>312</v>
      </c>
      <c r="BO32" s="93" t="s">
        <v>294</v>
      </c>
      <c r="BP32" s="93">
        <v>0.22989999999999999</v>
      </c>
      <c r="BQ32" s="143"/>
      <c r="BS32" s="92" t="s">
        <v>312</v>
      </c>
      <c r="BT32" s="93" t="s">
        <v>294</v>
      </c>
      <c r="BU32" s="93">
        <v>0.14779999999999999</v>
      </c>
    </row>
    <row r="33" spans="1:73" s="89" customFormat="1" ht="38.75" customHeight="1" x14ac:dyDescent="0.2">
      <c r="A33" s="87" t="s">
        <v>313</v>
      </c>
      <c r="B33" s="88" t="s">
        <v>294</v>
      </c>
      <c r="C33" s="88">
        <f>'Cleaned Data'!CY5</f>
        <v>0.21709999999999999</v>
      </c>
      <c r="D33" s="143"/>
      <c r="F33" s="87" t="s">
        <v>313</v>
      </c>
      <c r="G33" s="88" t="s">
        <v>294</v>
      </c>
      <c r="H33" s="88">
        <v>0.13400000000000001</v>
      </c>
      <c r="I33" s="143"/>
      <c r="K33" s="87" t="s">
        <v>313</v>
      </c>
      <c r="L33" s="88" t="s">
        <v>294</v>
      </c>
      <c r="M33" s="88">
        <v>0.28129999999999999</v>
      </c>
      <c r="N33" s="143"/>
      <c r="P33" s="87" t="s">
        <v>313</v>
      </c>
      <c r="Q33" s="88" t="s">
        <v>294</v>
      </c>
      <c r="R33" s="88">
        <v>0.21859999999999999</v>
      </c>
      <c r="S33" s="143"/>
      <c r="U33" s="87" t="s">
        <v>313</v>
      </c>
      <c r="V33" s="88" t="s">
        <v>294</v>
      </c>
      <c r="W33" s="88">
        <v>0.24390000000000001</v>
      </c>
      <c r="X33" s="143"/>
      <c r="Z33" s="87" t="s">
        <v>313</v>
      </c>
      <c r="AA33" s="88" t="s">
        <v>294</v>
      </c>
      <c r="AB33" s="88">
        <v>0.27179999999999999</v>
      </c>
      <c r="AC33" s="143"/>
      <c r="AE33" s="87" t="s">
        <v>313</v>
      </c>
      <c r="AF33" s="88" t="s">
        <v>294</v>
      </c>
      <c r="AG33" s="88">
        <v>0.26269999999999999</v>
      </c>
      <c r="AH33" s="143"/>
      <c r="AJ33" s="87" t="s">
        <v>313</v>
      </c>
      <c r="AK33" s="88" t="s">
        <v>294</v>
      </c>
      <c r="AL33" s="88">
        <v>0.2407</v>
      </c>
      <c r="AM33" s="143"/>
      <c r="AO33" s="87" t="s">
        <v>313</v>
      </c>
      <c r="AP33" s="88" t="s">
        <v>294</v>
      </c>
      <c r="AQ33" s="88">
        <v>0.2397</v>
      </c>
      <c r="AR33" s="143"/>
      <c r="AT33" s="87" t="s">
        <v>313</v>
      </c>
      <c r="AU33" s="88" t="s">
        <v>294</v>
      </c>
      <c r="AV33" s="88">
        <v>0.25979999999999998</v>
      </c>
      <c r="AW33" s="143"/>
      <c r="AY33" s="87" t="s">
        <v>313</v>
      </c>
      <c r="AZ33" s="88" t="s">
        <v>294</v>
      </c>
      <c r="BA33" s="88">
        <v>0.3795</v>
      </c>
      <c r="BB33" s="143"/>
      <c r="BD33" s="87" t="s">
        <v>313</v>
      </c>
      <c r="BE33" s="88" t="s">
        <v>294</v>
      </c>
      <c r="BF33" s="88">
        <v>0.32850000000000001</v>
      </c>
      <c r="BG33" s="143"/>
      <c r="BI33" s="87" t="s">
        <v>313</v>
      </c>
      <c r="BJ33" s="88" t="s">
        <v>294</v>
      </c>
      <c r="BK33" s="88">
        <v>0.21060000000000001</v>
      </c>
      <c r="BL33" s="143"/>
      <c r="BN33" s="87" t="s">
        <v>313</v>
      </c>
      <c r="BO33" s="88" t="s">
        <v>294</v>
      </c>
      <c r="BP33" s="88">
        <v>0.22509999999999999</v>
      </c>
      <c r="BQ33" s="143"/>
      <c r="BS33" s="87" t="s">
        <v>313</v>
      </c>
      <c r="BT33" s="88" t="s">
        <v>294</v>
      </c>
      <c r="BU33" s="88">
        <v>0.18049999999999999</v>
      </c>
    </row>
    <row r="34" spans="1:73" ht="24.5" customHeight="1" x14ac:dyDescent="0.2">
      <c r="A34" s="101" t="s">
        <v>85</v>
      </c>
      <c r="B34" s="105">
        <v>49431</v>
      </c>
      <c r="C34" s="105">
        <f>'Cleaned Data'!CP5</f>
        <v>50321</v>
      </c>
      <c r="F34" s="101" t="s">
        <v>85</v>
      </c>
      <c r="G34" s="105">
        <v>94224</v>
      </c>
      <c r="H34" s="105">
        <v>92571</v>
      </c>
      <c r="K34" s="101" t="s">
        <v>85</v>
      </c>
      <c r="L34" s="105">
        <v>46459</v>
      </c>
      <c r="M34" s="105">
        <v>47905</v>
      </c>
      <c r="P34" s="101" t="s">
        <v>85</v>
      </c>
      <c r="Q34" s="105">
        <v>55539</v>
      </c>
      <c r="R34" s="105">
        <v>60469</v>
      </c>
      <c r="U34" s="101" t="s">
        <v>85</v>
      </c>
      <c r="V34" s="105">
        <v>44459</v>
      </c>
      <c r="W34" s="105">
        <v>46865</v>
      </c>
      <c r="Z34" s="101" t="s">
        <v>85</v>
      </c>
      <c r="AA34" s="105">
        <v>41830</v>
      </c>
      <c r="AB34" s="105">
        <v>31463</v>
      </c>
      <c r="AE34" s="101" t="s">
        <v>85</v>
      </c>
      <c r="AF34" s="105">
        <v>69776</v>
      </c>
      <c r="AG34" s="105">
        <v>50754</v>
      </c>
      <c r="AJ34" s="101" t="s">
        <v>85</v>
      </c>
      <c r="AK34" s="105">
        <v>50593</v>
      </c>
      <c r="AL34" s="105">
        <v>54752</v>
      </c>
      <c r="AO34" s="101" t="s">
        <v>85</v>
      </c>
      <c r="AP34" s="105">
        <v>50079</v>
      </c>
      <c r="AQ34" s="105">
        <v>50605</v>
      </c>
      <c r="AT34" s="101" t="s">
        <v>85</v>
      </c>
      <c r="AU34" s="105">
        <v>52713</v>
      </c>
      <c r="AV34" s="105">
        <v>49941</v>
      </c>
      <c r="AY34" s="101" t="s">
        <v>85</v>
      </c>
      <c r="AZ34" s="105">
        <v>42138</v>
      </c>
      <c r="BA34" s="105">
        <v>45881</v>
      </c>
      <c r="BD34" s="101" t="s">
        <v>85</v>
      </c>
      <c r="BE34" s="105">
        <v>44367</v>
      </c>
      <c r="BF34" s="105">
        <v>45091</v>
      </c>
      <c r="BI34" s="101" t="s">
        <v>85</v>
      </c>
      <c r="BJ34" s="105">
        <v>47377</v>
      </c>
      <c r="BK34" s="105">
        <v>51780</v>
      </c>
      <c r="BN34" s="101" t="s">
        <v>85</v>
      </c>
      <c r="BO34" s="105">
        <v>72742</v>
      </c>
      <c r="BP34" s="105">
        <v>71355</v>
      </c>
      <c r="BS34" s="101" t="s">
        <v>85</v>
      </c>
      <c r="BT34" s="96" t="s">
        <v>294</v>
      </c>
      <c r="BU34" s="105">
        <v>75149</v>
      </c>
    </row>
    <row r="35" spans="1:73" s="89" customFormat="1" ht="26.25" customHeight="1" x14ac:dyDescent="0.2">
      <c r="A35" s="87" t="s">
        <v>314</v>
      </c>
      <c r="B35" s="88">
        <v>5.1999999999999998E-2</v>
      </c>
      <c r="C35" s="88" t="s">
        <v>294</v>
      </c>
      <c r="D35" s="143"/>
      <c r="F35" s="87" t="s">
        <v>314</v>
      </c>
      <c r="G35" s="88">
        <v>2.8000000000000001E-2</v>
      </c>
      <c r="H35" s="88" t="s">
        <v>294</v>
      </c>
      <c r="I35" s="143"/>
      <c r="K35" s="87" t="s">
        <v>314</v>
      </c>
      <c r="L35" s="88">
        <v>4.1000000000000002E-2</v>
      </c>
      <c r="M35" s="88" t="s">
        <v>294</v>
      </c>
      <c r="N35" s="143"/>
      <c r="P35" s="87" t="s">
        <v>314</v>
      </c>
      <c r="Q35" s="88">
        <v>0.03</v>
      </c>
      <c r="R35" s="88" t="s">
        <v>294</v>
      </c>
      <c r="S35" s="143"/>
      <c r="U35" s="87" t="s">
        <v>314</v>
      </c>
      <c r="V35" s="88">
        <v>0.04</v>
      </c>
      <c r="W35" s="88" t="s">
        <v>294</v>
      </c>
      <c r="X35" s="143"/>
      <c r="Z35" s="87" t="s">
        <v>314</v>
      </c>
      <c r="AA35" s="88">
        <v>4.2000000000000003E-2</v>
      </c>
      <c r="AB35" s="88" t="s">
        <v>294</v>
      </c>
      <c r="AC35" s="143"/>
      <c r="AE35" s="87" t="s">
        <v>314</v>
      </c>
      <c r="AF35" s="88">
        <v>3.5000000000000003E-2</v>
      </c>
      <c r="AG35" s="88" t="s">
        <v>294</v>
      </c>
      <c r="AH35" s="143"/>
      <c r="AJ35" s="87" t="s">
        <v>314</v>
      </c>
      <c r="AK35" s="88">
        <v>4.2000000000000003E-2</v>
      </c>
      <c r="AL35" s="88" t="s">
        <v>294</v>
      </c>
      <c r="AM35" s="143"/>
      <c r="AO35" s="87" t="s">
        <v>314</v>
      </c>
      <c r="AP35" s="88">
        <v>4.2000000000000003E-2</v>
      </c>
      <c r="AQ35" s="88" t="s">
        <v>294</v>
      </c>
      <c r="AR35" s="143"/>
      <c r="AT35" s="87" t="s">
        <v>314</v>
      </c>
      <c r="AU35" s="88">
        <v>4.2999999999999997E-2</v>
      </c>
      <c r="AV35" s="88" t="s">
        <v>294</v>
      </c>
      <c r="AW35" s="143"/>
      <c r="AY35" s="87" t="s">
        <v>314</v>
      </c>
      <c r="AZ35" s="88">
        <v>4.2999999999999997E-2</v>
      </c>
      <c r="BA35" s="88" t="s">
        <v>294</v>
      </c>
      <c r="BB35" s="143"/>
      <c r="BD35" s="87" t="s">
        <v>314</v>
      </c>
      <c r="BE35" s="88">
        <v>3.7999999999999999E-2</v>
      </c>
      <c r="BF35" s="88" t="s">
        <v>294</v>
      </c>
      <c r="BG35" s="143"/>
      <c r="BI35" s="87" t="s">
        <v>314</v>
      </c>
      <c r="BJ35" s="88">
        <v>4.1000000000000002E-2</v>
      </c>
      <c r="BK35" s="88" t="s">
        <v>294</v>
      </c>
      <c r="BL35" s="143"/>
      <c r="BN35" s="87" t="s">
        <v>314</v>
      </c>
      <c r="BO35" s="88">
        <v>3.6999999999999998E-2</v>
      </c>
      <c r="BP35" s="88" t="s">
        <v>294</v>
      </c>
      <c r="BQ35" s="143"/>
      <c r="BS35" s="87" t="s">
        <v>314</v>
      </c>
      <c r="BT35" s="88">
        <v>3.6999999999999998E-2</v>
      </c>
      <c r="BU35" s="88" t="s">
        <v>294</v>
      </c>
    </row>
    <row r="72" spans="36:36" x14ac:dyDescent="0.2">
      <c r="AJ72" s="89"/>
    </row>
  </sheetData>
  <mergeCells count="15">
    <mergeCell ref="BO2:BP2"/>
    <mergeCell ref="BT2:BU2"/>
    <mergeCell ref="B2:C2"/>
    <mergeCell ref="G2:H2"/>
    <mergeCell ref="L2:M2"/>
    <mergeCell ref="Q2:R2"/>
    <mergeCell ref="V2:W2"/>
    <mergeCell ref="AA2:AB2"/>
    <mergeCell ref="AF2:AG2"/>
    <mergeCell ref="AK2:AL2"/>
    <mergeCell ref="AP2:AQ2"/>
    <mergeCell ref="AU2:AV2"/>
    <mergeCell ref="AZ2:BA2"/>
    <mergeCell ref="BE2:BF2"/>
    <mergeCell ref="BJ2:BK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7BB20-4D4A-4B66-87F5-09BD81794564}">
  <dimension ref="A1:KV73"/>
  <sheetViews>
    <sheetView zoomScale="68" zoomScaleNormal="68" workbookViewId="0">
      <pane xSplit="1" ySplit="4" topLeftCell="Q39" activePane="bottomRight" state="frozen"/>
      <selection pane="topRight"/>
      <selection pane="bottomLeft"/>
      <selection pane="bottomRight" activeCell="Z30" sqref="Z30"/>
    </sheetView>
  </sheetViews>
  <sheetFormatPr baseColWidth="10" defaultColWidth="8.83203125" defaultRowHeight="15" outlineLevelRow="1" outlineLevelCol="2" x14ac:dyDescent="0.2"/>
  <cols>
    <col min="1" max="1" width="15.33203125" customWidth="1"/>
    <col min="2" max="3" width="17.33203125" customWidth="1"/>
    <col min="4" max="5" width="17.6640625" customWidth="1"/>
    <col min="6" max="7" width="14.33203125" customWidth="1"/>
    <col min="8" max="8" width="19.1640625" customWidth="1"/>
    <col min="9" max="9" width="16.6640625" customWidth="1"/>
    <col min="10" max="10" width="13.1640625" customWidth="1"/>
    <col min="11" max="11" width="16.83203125" customWidth="1"/>
    <col min="12" max="12" width="11.33203125" customWidth="1"/>
    <col min="13" max="13" width="20.33203125" customWidth="1"/>
    <col min="14" max="14" width="15.6640625" customWidth="1"/>
    <col min="15" max="15" width="19" customWidth="1"/>
    <col min="16" max="17" width="17.33203125" customWidth="1"/>
    <col min="18" max="18" width="15.33203125" customWidth="1"/>
    <col min="19" max="19" width="12" customWidth="1"/>
    <col min="20" max="20" width="11.1640625" customWidth="1"/>
    <col min="21" max="21" width="13.83203125" customWidth="1"/>
    <col min="22" max="22" width="8.83203125" customWidth="1"/>
    <col min="23" max="23" width="12.83203125" customWidth="1"/>
    <col min="24" max="24" width="12.6640625" customWidth="1"/>
    <col min="25" max="25" width="17.33203125" customWidth="1"/>
    <col min="26" max="26" width="16.6640625" customWidth="1" outlineLevel="2"/>
    <col min="27" max="27" width="19.83203125" customWidth="1" outlineLevel="2"/>
    <col min="28" max="28" width="11.1640625" customWidth="1"/>
    <col min="29" max="29" width="13.33203125" customWidth="1"/>
    <col min="30" max="30" width="18.6640625" customWidth="1"/>
    <col min="31" max="31" width="11.33203125" customWidth="1"/>
    <col min="32" max="32" width="12.33203125" customWidth="1"/>
    <col min="33" max="33" width="18.6640625" customWidth="1"/>
    <col min="34" max="34" width="14.33203125" customWidth="1"/>
    <col min="35" max="35" width="17.1640625" customWidth="1"/>
    <col min="36" max="36" width="15.6640625" customWidth="1"/>
    <col min="37" max="37" width="15.1640625" customWidth="1"/>
    <col min="38" max="38" width="24.33203125" customWidth="1"/>
    <col min="39" max="39" width="9.33203125" customWidth="1"/>
    <col min="40" max="40" width="12.6640625" customWidth="1"/>
    <col min="41" max="41" width="18.6640625" customWidth="1"/>
    <col min="42" max="42" width="14" customWidth="1"/>
    <col min="43" max="43" width="22.1640625" customWidth="1"/>
    <col min="44" max="44" width="12.6640625" customWidth="1"/>
    <col min="45" max="45" width="16.6640625" customWidth="1"/>
    <col min="46" max="46" width="18.1640625" customWidth="1"/>
    <col min="47" max="47" width="14.33203125" customWidth="1"/>
    <col min="48" max="48" width="16.6640625" customWidth="1"/>
    <col min="49" max="49" width="19.83203125" customWidth="1"/>
    <col min="50" max="50" width="12.1640625" customWidth="1"/>
    <col min="51" max="51" width="20.33203125" customWidth="1"/>
    <col min="52" max="52" width="12.33203125" customWidth="1"/>
    <col min="53" max="53" width="21.83203125" customWidth="1"/>
    <col min="54" max="54" width="14.83203125" customWidth="1"/>
    <col min="55" max="55" width="15.33203125" customWidth="1"/>
    <col min="56" max="56" width="22.33203125" customWidth="1"/>
    <col min="57" max="57" width="19.33203125" customWidth="1"/>
    <col min="58" max="58" width="15.6640625" customWidth="1"/>
    <col min="59" max="59" width="21.83203125" customWidth="1"/>
    <col min="60" max="60" width="21.33203125" customWidth="1"/>
    <col min="61" max="61" width="14.6640625" customWidth="1"/>
    <col min="62" max="62" width="16.1640625" customWidth="1"/>
    <col min="63" max="63" width="10.1640625" customWidth="1"/>
    <col min="64" max="64" width="19.83203125" customWidth="1"/>
    <col min="65" max="65" width="14.1640625" customWidth="1"/>
    <col min="66" max="66" width="12.6640625" customWidth="1"/>
    <col min="67" max="67" width="16.33203125" customWidth="1"/>
    <col min="68" max="68" width="18.1640625" customWidth="1"/>
    <col min="69" max="69" width="15.6640625" customWidth="1"/>
    <col min="70" max="70" width="16" customWidth="1"/>
    <col min="71" max="71" width="11.33203125" customWidth="1"/>
    <col min="72" max="72" width="11.6640625" customWidth="1"/>
    <col min="73" max="73" width="15.83203125" customWidth="1"/>
    <col min="74" max="74" width="15.1640625" customWidth="1"/>
    <col min="75" max="75" width="14.1640625" customWidth="1"/>
    <col min="76" max="76" width="17.6640625" customWidth="1"/>
    <col min="77" max="77" width="11.1640625" customWidth="1"/>
    <col min="78" max="78" width="10.33203125" customWidth="1"/>
    <col min="79" max="80" width="12.33203125" customWidth="1"/>
    <col min="81" max="81" width="11.1640625" customWidth="1"/>
    <col min="82" max="82" width="12.1640625" customWidth="1"/>
    <col min="83" max="83" width="12.33203125" customWidth="1"/>
    <col min="84" max="84" width="11.83203125" customWidth="1"/>
    <col min="85" max="85" width="15" customWidth="1"/>
    <col min="86" max="86" width="10.83203125" customWidth="1"/>
    <col min="87" max="87" width="11.6640625" customWidth="1"/>
    <col min="88" max="88" width="14.6640625" customWidth="1"/>
    <col min="89" max="89" width="16.6640625" customWidth="1"/>
    <col min="90" max="90" width="17.1640625" customWidth="1"/>
    <col min="91" max="92" width="14.6640625" customWidth="1"/>
    <col min="93" max="93" width="16.6640625" customWidth="1"/>
    <col min="94" max="94" width="14.33203125" customWidth="1"/>
    <col min="95" max="95" width="11.6640625" customWidth="1"/>
    <col min="96" max="96" width="11.1640625" customWidth="1"/>
    <col min="97" max="97" width="12.33203125" customWidth="1"/>
    <col min="98" max="98" width="10.83203125" customWidth="1"/>
    <col min="99" max="100" width="11.33203125" customWidth="1"/>
    <col min="101" max="101" width="10.1640625" customWidth="1"/>
    <col min="102" max="102" width="8.6640625"/>
    <col min="103" max="103" width="10.6640625" customWidth="1"/>
    <col min="104" max="105" width="13" customWidth="1"/>
    <col min="106" max="106" width="12.33203125" customWidth="1"/>
  </cols>
  <sheetData>
    <row r="1" spans="1:222" ht="16" x14ac:dyDescent="0.2">
      <c r="A1" s="4" t="s">
        <v>315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2"/>
      <c r="AZ1" s="182"/>
      <c r="BA1" s="182"/>
      <c r="BB1" s="182"/>
      <c r="BC1" s="182"/>
      <c r="BD1" s="182"/>
      <c r="BE1" s="182"/>
      <c r="BF1" s="182"/>
      <c r="BG1" s="182"/>
      <c r="BH1" s="182"/>
      <c r="BI1" s="182"/>
      <c r="BJ1" s="182"/>
      <c r="BK1" s="182"/>
      <c r="BL1" s="182"/>
      <c r="BM1" s="182"/>
      <c r="BN1" s="182"/>
      <c r="BO1" s="182"/>
      <c r="BQ1" s="182"/>
      <c r="BR1" s="182"/>
      <c r="BS1" s="182"/>
      <c r="BT1" s="182"/>
      <c r="BU1" s="182"/>
      <c r="BV1" s="182"/>
      <c r="BW1" s="182"/>
      <c r="BX1" s="182"/>
      <c r="BY1" s="182"/>
      <c r="BZ1" s="182"/>
      <c r="CA1" s="182"/>
      <c r="CB1" s="182"/>
      <c r="CC1" s="182"/>
      <c r="CD1" s="182"/>
      <c r="CE1" s="182"/>
      <c r="CF1" s="182"/>
      <c r="CG1" s="182"/>
      <c r="CH1" s="182"/>
      <c r="CI1" s="182"/>
      <c r="CJ1" s="182"/>
      <c r="CK1" s="182"/>
      <c r="CL1" s="182"/>
      <c r="CM1" s="18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</row>
    <row r="2" spans="1:222" ht="64" x14ac:dyDescent="0.2">
      <c r="A2" s="60" t="s">
        <v>274</v>
      </c>
      <c r="B2" s="61" t="s">
        <v>316</v>
      </c>
      <c r="C2" s="62" t="s">
        <v>168</v>
      </c>
      <c r="D2" s="63" t="s">
        <v>317</v>
      </c>
      <c r="E2" s="182" t="s">
        <v>318</v>
      </c>
      <c r="F2" s="182"/>
      <c r="G2" s="159" t="s">
        <v>319</v>
      </c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 t="s">
        <v>320</v>
      </c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  <c r="BN2" s="182"/>
      <c r="BO2" s="182"/>
      <c r="BP2" s="182"/>
      <c r="BQ2" s="182"/>
      <c r="BR2" s="182"/>
      <c r="BS2" s="182"/>
      <c r="BT2" s="182"/>
      <c r="BU2" s="182"/>
      <c r="BV2" s="182"/>
      <c r="BW2" s="182"/>
      <c r="BX2" s="182"/>
      <c r="BY2" s="182"/>
      <c r="BZ2" s="182"/>
      <c r="CA2" s="182"/>
      <c r="CB2" s="182"/>
      <c r="CC2" s="182"/>
      <c r="CD2" s="182"/>
      <c r="CE2" s="182"/>
      <c r="CF2" s="182"/>
      <c r="CG2" s="182"/>
      <c r="CH2" s="182"/>
      <c r="CI2" s="182"/>
      <c r="CJ2" s="182"/>
      <c r="CK2" s="18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</row>
    <row r="3" spans="1:222" ht="36.75" customHeight="1" x14ac:dyDescent="0.2">
      <c r="A3" s="65"/>
      <c r="B3" s="65" t="s">
        <v>2</v>
      </c>
      <c r="C3" s="65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 t="s">
        <v>0</v>
      </c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 t="s">
        <v>320</v>
      </c>
      <c r="AS3" s="182"/>
      <c r="AT3" s="182" t="s">
        <v>320</v>
      </c>
      <c r="AU3" s="158" t="s">
        <v>3</v>
      </c>
      <c r="AV3" s="182"/>
      <c r="AW3" s="182"/>
      <c r="AX3" s="182"/>
      <c r="AY3" s="182"/>
      <c r="AZ3" s="182"/>
      <c r="BA3" s="182"/>
      <c r="BB3" s="4" t="s">
        <v>226</v>
      </c>
      <c r="BC3" s="182"/>
      <c r="BD3" s="182"/>
      <c r="BE3" s="182"/>
      <c r="BF3" s="4" t="s">
        <v>230</v>
      </c>
      <c r="BG3" s="182"/>
      <c r="BH3" s="182"/>
      <c r="BI3" s="270" t="s">
        <v>231</v>
      </c>
      <c r="BJ3" s="270"/>
      <c r="BK3" s="270"/>
      <c r="BL3" s="271" t="s">
        <v>232</v>
      </c>
      <c r="BM3" s="271"/>
      <c r="BN3" s="271"/>
      <c r="BO3" s="272" t="s">
        <v>233</v>
      </c>
      <c r="BP3" s="272"/>
      <c r="BQ3" s="272"/>
      <c r="BR3" s="273" t="s">
        <v>234</v>
      </c>
      <c r="BS3" s="273"/>
      <c r="BT3" s="273"/>
      <c r="BU3" s="274" t="s">
        <v>235</v>
      </c>
      <c r="BV3" s="274"/>
      <c r="BW3" s="274"/>
      <c r="BX3" s="182"/>
      <c r="BY3" s="182"/>
      <c r="BZ3" s="182"/>
      <c r="CA3" s="182"/>
      <c r="CB3" s="182"/>
      <c r="CC3" s="182"/>
      <c r="CD3" s="182"/>
      <c r="CE3" s="182"/>
      <c r="CF3" s="182"/>
      <c r="CG3" s="182"/>
      <c r="CH3" s="182"/>
      <c r="CI3" s="182"/>
      <c r="CJ3" s="182"/>
      <c r="CK3" s="182"/>
      <c r="CL3" s="182"/>
      <c r="CM3" s="18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</row>
    <row r="4" spans="1:222" ht="64" x14ac:dyDescent="0.2">
      <c r="A4" s="184" t="s">
        <v>6</v>
      </c>
      <c r="B4" s="184" t="s">
        <v>193</v>
      </c>
      <c r="C4" s="66" t="s">
        <v>193</v>
      </c>
      <c r="D4" s="184" t="s">
        <v>169</v>
      </c>
      <c r="E4" s="66" t="s">
        <v>321</v>
      </c>
      <c r="F4" s="184" t="s">
        <v>170</v>
      </c>
      <c r="G4" s="66" t="s">
        <v>170</v>
      </c>
      <c r="H4" s="184" t="s">
        <v>171</v>
      </c>
      <c r="I4" s="66" t="s">
        <v>171</v>
      </c>
      <c r="J4" s="184" t="s">
        <v>172</v>
      </c>
      <c r="K4" s="184" t="s">
        <v>173</v>
      </c>
      <c r="L4" s="184" t="s">
        <v>174</v>
      </c>
      <c r="M4" s="184" t="s">
        <v>187</v>
      </c>
      <c r="N4" s="180" t="s">
        <v>188</v>
      </c>
      <c r="O4" s="184" t="s">
        <v>189</v>
      </c>
      <c r="P4" s="184" t="s">
        <v>190</v>
      </c>
      <c r="Q4" s="66" t="s">
        <v>194</v>
      </c>
      <c r="R4" s="66" t="s">
        <v>196</v>
      </c>
      <c r="S4" s="184" t="s">
        <v>191</v>
      </c>
      <c r="T4" s="66" t="s">
        <v>195</v>
      </c>
      <c r="U4" s="184" t="s">
        <v>192</v>
      </c>
      <c r="V4" s="66" t="s">
        <v>322</v>
      </c>
      <c r="W4" s="8" t="s">
        <v>276</v>
      </c>
      <c r="X4" s="8" t="s">
        <v>199</v>
      </c>
      <c r="Y4" s="8" t="s">
        <v>200</v>
      </c>
      <c r="Z4" s="8" t="s">
        <v>201</v>
      </c>
      <c r="AA4" s="8" t="s">
        <v>202</v>
      </c>
      <c r="AB4" s="9" t="s">
        <v>193</v>
      </c>
      <c r="AC4" s="9" t="s">
        <v>277</v>
      </c>
      <c r="AD4" s="10" t="s">
        <v>203</v>
      </c>
      <c r="AE4" s="9" t="s">
        <v>193</v>
      </c>
      <c r="AF4" s="9" t="s">
        <v>204</v>
      </c>
      <c r="AG4" s="10" t="s">
        <v>205</v>
      </c>
      <c r="AH4" s="184" t="s">
        <v>278</v>
      </c>
      <c r="AI4" s="66" t="s">
        <v>216</v>
      </c>
      <c r="AJ4" s="66" t="s">
        <v>323</v>
      </c>
      <c r="AK4" s="184" t="s">
        <v>324</v>
      </c>
      <c r="AL4" s="184" t="s">
        <v>207</v>
      </c>
      <c r="AM4" s="184" t="s">
        <v>208</v>
      </c>
      <c r="AN4" s="184" t="s">
        <v>209</v>
      </c>
      <c r="AO4" s="184" t="s">
        <v>325</v>
      </c>
      <c r="AP4" s="66" t="s">
        <v>209</v>
      </c>
      <c r="AQ4" s="66" t="s">
        <v>325</v>
      </c>
      <c r="AR4" s="8" t="s">
        <v>218</v>
      </c>
      <c r="AS4" s="8" t="s">
        <v>211</v>
      </c>
      <c r="AT4" s="8" t="s">
        <v>212</v>
      </c>
      <c r="AU4" s="8" t="s">
        <v>220</v>
      </c>
      <c r="AV4" s="8" t="s">
        <v>221</v>
      </c>
      <c r="AW4" s="184" t="s">
        <v>222</v>
      </c>
      <c r="AX4" s="184" t="s">
        <v>223</v>
      </c>
      <c r="AY4" s="184" t="s">
        <v>326</v>
      </c>
      <c r="AZ4" s="184" t="s">
        <v>276</v>
      </c>
      <c r="BA4" s="184" t="s">
        <v>225</v>
      </c>
      <c r="BB4" s="184" t="s">
        <v>279</v>
      </c>
      <c r="BC4" s="184" t="s">
        <v>227</v>
      </c>
      <c r="BD4" s="184" t="s">
        <v>228</v>
      </c>
      <c r="BE4" s="184" t="s">
        <v>229</v>
      </c>
      <c r="BF4" s="8" t="s">
        <v>236</v>
      </c>
      <c r="BG4" s="8" t="s">
        <v>237</v>
      </c>
      <c r="BH4" s="8" t="s">
        <v>238</v>
      </c>
      <c r="BI4" s="184" t="s">
        <v>239</v>
      </c>
      <c r="BJ4" s="184" t="s">
        <v>240</v>
      </c>
      <c r="BK4" s="184" t="s">
        <v>231</v>
      </c>
      <c r="BL4" s="11" t="s">
        <v>239</v>
      </c>
      <c r="BM4" s="11" t="s">
        <v>240</v>
      </c>
      <c r="BN4" s="11" t="s">
        <v>232</v>
      </c>
      <c r="BO4" s="184" t="s">
        <v>242</v>
      </c>
      <c r="BP4" s="184" t="s">
        <v>240</v>
      </c>
      <c r="BQ4" s="184" t="s">
        <v>233</v>
      </c>
      <c r="BR4" s="184" t="s">
        <v>242</v>
      </c>
      <c r="BS4" s="184" t="s">
        <v>240</v>
      </c>
      <c r="BT4" s="184" t="s">
        <v>234</v>
      </c>
      <c r="BU4" s="184" t="s">
        <v>244</v>
      </c>
      <c r="BV4" s="184" t="s">
        <v>240</v>
      </c>
      <c r="BW4" s="184" t="s">
        <v>235</v>
      </c>
      <c r="BX4" s="12" t="s">
        <v>327</v>
      </c>
      <c r="BY4" s="12" t="s">
        <v>175</v>
      </c>
      <c r="BZ4" s="12" t="s">
        <v>176</v>
      </c>
      <c r="CA4" s="12" t="s">
        <v>177</v>
      </c>
      <c r="CB4" s="12" t="s">
        <v>178</v>
      </c>
      <c r="CC4" s="12" t="s">
        <v>179</v>
      </c>
      <c r="CD4" s="12" t="s">
        <v>180</v>
      </c>
      <c r="CE4" s="12" t="s">
        <v>181</v>
      </c>
      <c r="CF4" s="12" t="s">
        <v>182</v>
      </c>
      <c r="CG4" s="184" t="s">
        <v>183</v>
      </c>
      <c r="CH4" s="184" t="s">
        <v>184</v>
      </c>
      <c r="CI4" s="184" t="s">
        <v>12</v>
      </c>
      <c r="CJ4" s="184" t="s">
        <v>14</v>
      </c>
      <c r="CK4" s="184" t="s">
        <v>16</v>
      </c>
      <c r="CL4" s="184" t="s">
        <v>185</v>
      </c>
      <c r="CM4" s="184" t="s">
        <v>186</v>
      </c>
      <c r="CN4" s="184" t="s">
        <v>245</v>
      </c>
      <c r="CO4" s="184" t="s">
        <v>246</v>
      </c>
      <c r="CP4" s="184" t="s">
        <v>85</v>
      </c>
      <c r="CQ4" s="184" t="s">
        <v>247</v>
      </c>
      <c r="CR4" s="184" t="s">
        <v>248</v>
      </c>
      <c r="CS4" s="184" t="s">
        <v>249</v>
      </c>
      <c r="CT4" s="184" t="s">
        <v>250</v>
      </c>
      <c r="CU4" s="184" t="s">
        <v>251</v>
      </c>
      <c r="CV4" s="184" t="s">
        <v>252</v>
      </c>
      <c r="CW4" s="184" t="s">
        <v>253</v>
      </c>
      <c r="CX4" s="47" t="s">
        <v>254</v>
      </c>
      <c r="CY4" s="47" t="s">
        <v>255</v>
      </c>
      <c r="CZ4" s="47" t="s">
        <v>256</v>
      </c>
      <c r="DA4" s="47" t="s">
        <v>257</v>
      </c>
      <c r="DB4" s="47" t="s">
        <v>258</v>
      </c>
    </row>
    <row r="5" spans="1:222" s="176" customFormat="1" ht="16" x14ac:dyDescent="0.2">
      <c r="A5" s="160" t="s">
        <v>198</v>
      </c>
      <c r="B5" s="161">
        <v>24337</v>
      </c>
      <c r="C5" s="162">
        <v>140590</v>
      </c>
      <c r="D5" s="163">
        <v>29</v>
      </c>
      <c r="E5" s="164">
        <v>0.2</v>
      </c>
      <c r="F5" s="161">
        <v>11944</v>
      </c>
      <c r="G5" s="165">
        <v>66992</v>
      </c>
      <c r="H5" s="161">
        <v>12393</v>
      </c>
      <c r="I5" s="165">
        <v>73598</v>
      </c>
      <c r="J5" s="166">
        <v>0.49080000000000001</v>
      </c>
      <c r="K5" s="166">
        <v>0.50919999999999999</v>
      </c>
      <c r="L5" s="164">
        <v>38.799999999999997</v>
      </c>
      <c r="M5" s="161">
        <v>24134</v>
      </c>
      <c r="N5" s="161">
        <v>3578</v>
      </c>
      <c r="O5" s="166">
        <v>0.14829999999999999</v>
      </c>
      <c r="P5" s="163">
        <v>846</v>
      </c>
      <c r="Q5" s="164">
        <v>173</v>
      </c>
      <c r="R5" s="164">
        <v>134</v>
      </c>
      <c r="S5" s="163">
        <v>0</v>
      </c>
      <c r="T5" s="164">
        <v>18.2</v>
      </c>
      <c r="U5" s="163">
        <v>0</v>
      </c>
      <c r="V5" s="164">
        <v>14.1</v>
      </c>
      <c r="W5" s="161">
        <v>18351</v>
      </c>
      <c r="X5" s="161">
        <v>3633</v>
      </c>
      <c r="Y5" s="166">
        <v>0.19800000000000001</v>
      </c>
      <c r="Z5" s="161">
        <v>2617</v>
      </c>
      <c r="AA5" s="166">
        <v>0.1426</v>
      </c>
      <c r="AB5" s="161">
        <v>24388</v>
      </c>
      <c r="AC5" s="163">
        <v>169</v>
      </c>
      <c r="AD5" s="163">
        <v>692.96</v>
      </c>
      <c r="AE5" s="161">
        <v>24310</v>
      </c>
      <c r="AF5" s="163">
        <v>70</v>
      </c>
      <c r="AG5" s="163">
        <v>287.89999999999998</v>
      </c>
      <c r="AH5" s="161">
        <v>20218</v>
      </c>
      <c r="AI5" s="165">
        <v>1480</v>
      </c>
      <c r="AJ5" s="167">
        <v>1052.7</v>
      </c>
      <c r="AK5" s="163" t="s">
        <v>213</v>
      </c>
      <c r="AL5" s="163" t="s">
        <v>302</v>
      </c>
      <c r="AM5" s="164">
        <v>258</v>
      </c>
      <c r="AN5" s="164" t="s">
        <v>215</v>
      </c>
      <c r="AO5" s="164" t="s">
        <v>215</v>
      </c>
      <c r="AP5" s="164">
        <v>12</v>
      </c>
      <c r="AQ5" s="164">
        <v>6.9</v>
      </c>
      <c r="AR5" s="161">
        <v>17631</v>
      </c>
      <c r="AS5" s="161">
        <v>5307</v>
      </c>
      <c r="AT5" s="166">
        <v>0.3</v>
      </c>
      <c r="AU5" s="161">
        <v>22383</v>
      </c>
      <c r="AV5" s="163">
        <v>74.14</v>
      </c>
      <c r="AW5" s="165">
        <v>23230</v>
      </c>
      <c r="AX5" s="164">
        <v>126</v>
      </c>
      <c r="AY5" s="164">
        <v>108.5</v>
      </c>
      <c r="AZ5" s="165">
        <v>18351</v>
      </c>
      <c r="BA5" s="164">
        <v>5.2</v>
      </c>
      <c r="BB5" s="161">
        <v>24388</v>
      </c>
      <c r="BC5" s="163">
        <v>11</v>
      </c>
      <c r="BD5" s="168">
        <v>2217.1</v>
      </c>
      <c r="BE5" s="163">
        <v>45.1</v>
      </c>
      <c r="BF5" s="161">
        <v>1686</v>
      </c>
      <c r="BG5" s="163">
        <v>99</v>
      </c>
      <c r="BH5" s="166">
        <v>5.8700000000000002E-2</v>
      </c>
      <c r="BI5" s="165">
        <v>14716</v>
      </c>
      <c r="BJ5" s="164">
        <v>21</v>
      </c>
      <c r="BK5" s="164">
        <v>142.69999999999999</v>
      </c>
      <c r="BL5" s="163" t="s">
        <v>215</v>
      </c>
      <c r="BM5" s="163" t="s">
        <v>214</v>
      </c>
      <c r="BN5" s="163" t="s">
        <v>214</v>
      </c>
      <c r="BO5" s="165">
        <v>26397</v>
      </c>
      <c r="BP5" s="164">
        <v>17</v>
      </c>
      <c r="BQ5" s="164">
        <v>64.400000000000006</v>
      </c>
      <c r="BR5" s="161">
        <v>29447</v>
      </c>
      <c r="BS5" s="163">
        <v>24</v>
      </c>
      <c r="BT5" s="163">
        <v>81.5</v>
      </c>
      <c r="BU5" s="165">
        <v>13416</v>
      </c>
      <c r="BV5" s="164">
        <v>15</v>
      </c>
      <c r="BW5" s="164">
        <v>111.8</v>
      </c>
      <c r="BX5" s="169"/>
      <c r="BY5" s="170">
        <v>1484</v>
      </c>
      <c r="BZ5" s="170">
        <v>4607</v>
      </c>
      <c r="CA5" s="170">
        <v>2662</v>
      </c>
      <c r="CB5" s="170">
        <v>2191</v>
      </c>
      <c r="CC5" s="170">
        <v>3070</v>
      </c>
      <c r="CD5" s="170">
        <v>2947</v>
      </c>
      <c r="CE5" s="170">
        <v>3409</v>
      </c>
      <c r="CF5" s="170">
        <v>3967</v>
      </c>
      <c r="CG5" s="171">
        <v>12127</v>
      </c>
      <c r="CH5" s="171">
        <v>11095</v>
      </c>
      <c r="CI5" s="170">
        <v>122</v>
      </c>
      <c r="CJ5" s="170">
        <v>0</v>
      </c>
      <c r="CK5" s="170">
        <v>0</v>
      </c>
      <c r="CL5" s="170">
        <v>323</v>
      </c>
      <c r="CM5" s="170">
        <v>670</v>
      </c>
      <c r="CN5" s="172">
        <v>8913</v>
      </c>
      <c r="CO5" s="173">
        <v>77372</v>
      </c>
      <c r="CP5" s="173">
        <v>50321</v>
      </c>
      <c r="CQ5" s="174">
        <v>25335</v>
      </c>
      <c r="CR5" s="174">
        <v>49137</v>
      </c>
      <c r="CS5" s="174">
        <v>59615</v>
      </c>
      <c r="CT5" s="174">
        <v>113323</v>
      </c>
      <c r="CU5" s="174">
        <v>105848</v>
      </c>
      <c r="CV5" s="174">
        <v>69282</v>
      </c>
      <c r="CW5" s="174">
        <v>95369</v>
      </c>
      <c r="CX5" s="175">
        <v>0.27800000000000002</v>
      </c>
      <c r="CY5" s="175">
        <v>0.21709999999999999</v>
      </c>
      <c r="CZ5" s="175">
        <v>0.25979999999999998</v>
      </c>
      <c r="DA5" s="175">
        <v>0.19989999999999999</v>
      </c>
      <c r="DB5" s="175">
        <v>4.5100000000000001E-2</v>
      </c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</row>
    <row r="6" spans="1:222" s="176" customFormat="1" ht="16" x14ac:dyDescent="0.2">
      <c r="A6" s="160" t="s">
        <v>328</v>
      </c>
      <c r="B6" s="161">
        <v>156921</v>
      </c>
      <c r="C6" s="165">
        <v>958602</v>
      </c>
      <c r="D6" s="163">
        <v>541</v>
      </c>
      <c r="E6" s="164">
        <v>1.5</v>
      </c>
      <c r="F6" s="161">
        <v>76942</v>
      </c>
      <c r="G6" s="165">
        <v>468642</v>
      </c>
      <c r="H6" s="161">
        <v>79979</v>
      </c>
      <c r="I6" s="165">
        <v>489960</v>
      </c>
      <c r="J6" s="166">
        <v>0.49030000000000001</v>
      </c>
      <c r="K6" s="166">
        <v>0.50970000000000004</v>
      </c>
      <c r="L6" s="164">
        <v>37.4</v>
      </c>
      <c r="M6" s="161">
        <v>153471</v>
      </c>
      <c r="N6" s="161">
        <v>20021</v>
      </c>
      <c r="O6" s="166">
        <v>0.1305</v>
      </c>
      <c r="P6" s="161">
        <v>4971</v>
      </c>
      <c r="Q6" s="164">
        <v>398</v>
      </c>
      <c r="R6" s="164">
        <v>268</v>
      </c>
      <c r="S6" s="163">
        <v>12</v>
      </c>
      <c r="T6" s="164">
        <v>5.9</v>
      </c>
      <c r="U6" s="163">
        <v>2.41</v>
      </c>
      <c r="V6" s="164">
        <v>4</v>
      </c>
      <c r="W6" s="161">
        <v>120343</v>
      </c>
      <c r="X6" s="161">
        <v>15524</v>
      </c>
      <c r="Y6" s="166">
        <v>0.129</v>
      </c>
      <c r="Z6" s="161">
        <v>19831</v>
      </c>
      <c r="AA6" s="166">
        <v>0.1648</v>
      </c>
      <c r="AB6" s="161">
        <v>162419</v>
      </c>
      <c r="AC6" s="163">
        <v>630</v>
      </c>
      <c r="AD6" s="163">
        <v>387.89</v>
      </c>
      <c r="AE6" s="161">
        <v>159639</v>
      </c>
      <c r="AF6" s="163">
        <v>179</v>
      </c>
      <c r="AG6" s="163">
        <v>112.1</v>
      </c>
      <c r="AH6" s="161">
        <v>134743</v>
      </c>
      <c r="AI6" s="165">
        <v>4117</v>
      </c>
      <c r="AJ6" s="164">
        <v>429.5</v>
      </c>
      <c r="AK6" s="163">
        <v>10</v>
      </c>
      <c r="AL6" s="163">
        <v>7.4</v>
      </c>
      <c r="AM6" s="165">
        <v>1701</v>
      </c>
      <c r="AN6" s="164" t="s">
        <v>215</v>
      </c>
      <c r="AO6" s="164" t="s">
        <v>215</v>
      </c>
      <c r="AP6" s="164">
        <v>55</v>
      </c>
      <c r="AQ6" s="164">
        <v>5.0999999999999996</v>
      </c>
      <c r="AR6" s="161">
        <v>116039</v>
      </c>
      <c r="AS6" s="161">
        <v>38641</v>
      </c>
      <c r="AT6" s="166">
        <v>0.33200000000000002</v>
      </c>
      <c r="AU6" s="161">
        <v>156714</v>
      </c>
      <c r="AV6" s="163">
        <v>80.459999999999994</v>
      </c>
      <c r="AW6" s="165">
        <v>158688</v>
      </c>
      <c r="AX6" s="164">
        <v>396</v>
      </c>
      <c r="AY6" s="164">
        <v>49.9</v>
      </c>
      <c r="AZ6" s="165">
        <v>120343</v>
      </c>
      <c r="BA6" s="164">
        <v>4.8</v>
      </c>
      <c r="BB6" s="161">
        <v>162419</v>
      </c>
      <c r="BC6" s="163">
        <v>215</v>
      </c>
      <c r="BD6" s="163">
        <v>755.4</v>
      </c>
      <c r="BE6" s="163">
        <v>132.4</v>
      </c>
      <c r="BF6" s="161">
        <v>8219</v>
      </c>
      <c r="BG6" s="163">
        <v>314</v>
      </c>
      <c r="BH6" s="166">
        <v>3.8199999999999998E-2</v>
      </c>
      <c r="BI6" s="165">
        <v>90694</v>
      </c>
      <c r="BJ6" s="164">
        <v>115</v>
      </c>
      <c r="BK6" s="164">
        <v>126.8</v>
      </c>
      <c r="BL6" s="161">
        <v>74074</v>
      </c>
      <c r="BM6" s="163">
        <v>4</v>
      </c>
      <c r="BN6" s="163">
        <v>5.4</v>
      </c>
      <c r="BO6" s="165">
        <v>165384</v>
      </c>
      <c r="BP6" s="164">
        <v>43</v>
      </c>
      <c r="BQ6" s="164">
        <v>26</v>
      </c>
      <c r="BR6" s="161">
        <v>164609</v>
      </c>
      <c r="BS6" s="163">
        <v>80</v>
      </c>
      <c r="BT6" s="163">
        <v>48.6</v>
      </c>
      <c r="BU6" s="165">
        <v>84967</v>
      </c>
      <c r="BV6" s="164">
        <v>104</v>
      </c>
      <c r="BW6" s="164">
        <v>122.4</v>
      </c>
      <c r="BX6" s="169"/>
      <c r="BY6" s="177">
        <v>9500</v>
      </c>
      <c r="BZ6" s="177">
        <v>29755</v>
      </c>
      <c r="CA6" s="177">
        <v>12875</v>
      </c>
      <c r="CB6" s="177">
        <v>21030</v>
      </c>
      <c r="CC6" s="177">
        <v>22631</v>
      </c>
      <c r="CD6" s="177">
        <v>19907</v>
      </c>
      <c r="CE6" s="177">
        <v>18281</v>
      </c>
      <c r="CF6" s="177">
        <v>22942</v>
      </c>
      <c r="CG6" s="165">
        <v>108715</v>
      </c>
      <c r="CH6" s="165">
        <v>26560</v>
      </c>
      <c r="CI6" s="165">
        <v>6850</v>
      </c>
      <c r="CJ6" s="164">
        <v>375</v>
      </c>
      <c r="CK6" s="164">
        <v>5</v>
      </c>
      <c r="CL6" s="165">
        <v>4017</v>
      </c>
      <c r="CM6" s="165">
        <v>10399</v>
      </c>
      <c r="CN6" s="172">
        <v>50056</v>
      </c>
      <c r="CO6" s="173">
        <v>114331</v>
      </c>
      <c r="CP6" s="173">
        <v>92571</v>
      </c>
      <c r="CQ6" s="174">
        <v>47156</v>
      </c>
      <c r="CR6" s="174">
        <v>97339</v>
      </c>
      <c r="CS6" s="174">
        <v>105722</v>
      </c>
      <c r="CT6" s="174">
        <v>135548</v>
      </c>
      <c r="CU6" s="174">
        <v>117500</v>
      </c>
      <c r="CV6" s="174">
        <v>126131</v>
      </c>
      <c r="CW6" s="174">
        <v>114696</v>
      </c>
      <c r="CX6" s="175">
        <v>0.1045</v>
      </c>
      <c r="CY6" s="175">
        <v>0.13400000000000001</v>
      </c>
      <c r="CZ6" s="175">
        <v>0.29759999999999998</v>
      </c>
      <c r="DA6" s="175">
        <v>0.32850000000000001</v>
      </c>
      <c r="DB6" s="175">
        <v>0.13550000000000001</v>
      </c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</row>
    <row r="7" spans="1:222" ht="16" x14ac:dyDescent="0.2">
      <c r="A7" s="13" t="s">
        <v>329</v>
      </c>
      <c r="B7" s="14">
        <v>22907</v>
      </c>
      <c r="C7" s="68">
        <v>136529</v>
      </c>
      <c r="D7" s="15">
        <v>34</v>
      </c>
      <c r="E7" s="182">
        <v>0.2</v>
      </c>
      <c r="F7" s="14">
        <v>11621</v>
      </c>
      <c r="G7" s="68">
        <v>68044</v>
      </c>
      <c r="H7" s="14">
        <v>11286</v>
      </c>
      <c r="I7" s="68">
        <v>68485</v>
      </c>
      <c r="J7" s="16">
        <v>0.50729999999999997</v>
      </c>
      <c r="K7" s="16">
        <v>0.49270000000000003</v>
      </c>
      <c r="L7" s="69">
        <v>37.4</v>
      </c>
      <c r="M7" s="14">
        <v>22045</v>
      </c>
      <c r="N7" s="14">
        <v>4687</v>
      </c>
      <c r="O7" s="16">
        <v>0.21260000000000001</v>
      </c>
      <c r="P7" s="15">
        <v>664</v>
      </c>
      <c r="Q7" s="182">
        <v>203</v>
      </c>
      <c r="R7" s="182">
        <v>167</v>
      </c>
      <c r="S7" s="15">
        <v>31</v>
      </c>
      <c r="T7" s="182">
        <v>21.5</v>
      </c>
      <c r="U7" s="15">
        <v>46.69</v>
      </c>
      <c r="V7" s="182">
        <v>17.7</v>
      </c>
      <c r="W7" s="14">
        <v>17112</v>
      </c>
      <c r="X7" s="14">
        <v>4038</v>
      </c>
      <c r="Y7" s="16">
        <v>0.23599999999999999</v>
      </c>
      <c r="Z7" s="14">
        <v>2514</v>
      </c>
      <c r="AA7" s="16">
        <v>0.1469</v>
      </c>
      <c r="AB7" s="14">
        <v>22929</v>
      </c>
      <c r="AC7" s="15">
        <v>215</v>
      </c>
      <c r="AD7" s="15">
        <v>937.68</v>
      </c>
      <c r="AE7" s="14">
        <v>22716</v>
      </c>
      <c r="AF7" s="15">
        <v>72</v>
      </c>
      <c r="AG7" s="15">
        <v>317</v>
      </c>
      <c r="AH7" s="14">
        <v>18974</v>
      </c>
      <c r="AI7" s="68">
        <v>2544</v>
      </c>
      <c r="AJ7" s="70">
        <v>1130.9000000000001</v>
      </c>
      <c r="AK7" s="15" t="s">
        <v>213</v>
      </c>
      <c r="AL7" s="15" t="s">
        <v>302</v>
      </c>
      <c r="AM7" s="69">
        <v>277</v>
      </c>
      <c r="AN7" s="69" t="s">
        <v>215</v>
      </c>
      <c r="AO7" s="69" t="s">
        <v>215</v>
      </c>
      <c r="AP7" s="182">
        <v>14</v>
      </c>
      <c r="AQ7" s="182">
        <v>8</v>
      </c>
      <c r="AR7" s="14">
        <v>16352</v>
      </c>
      <c r="AS7" s="14">
        <v>4791</v>
      </c>
      <c r="AT7" s="16">
        <v>0.29299999999999998</v>
      </c>
      <c r="AU7" s="14">
        <v>22646</v>
      </c>
      <c r="AV7" s="15">
        <v>73</v>
      </c>
      <c r="AW7" s="71">
        <v>22682</v>
      </c>
      <c r="AX7" s="69">
        <v>152</v>
      </c>
      <c r="AY7" s="69">
        <v>134</v>
      </c>
      <c r="AZ7" s="71">
        <v>17112</v>
      </c>
      <c r="BA7" s="69">
        <v>5.6</v>
      </c>
      <c r="BB7" s="14">
        <v>22929</v>
      </c>
      <c r="BC7" s="15">
        <v>23</v>
      </c>
      <c r="BD7" s="15">
        <v>996.9</v>
      </c>
      <c r="BE7" s="15">
        <v>100.3</v>
      </c>
      <c r="BF7" s="14">
        <v>1151</v>
      </c>
      <c r="BG7" s="15">
        <v>113</v>
      </c>
      <c r="BH7" s="16">
        <v>9.8199999999999996E-2</v>
      </c>
      <c r="BI7" s="68">
        <v>15340</v>
      </c>
      <c r="BJ7" s="182">
        <v>16</v>
      </c>
      <c r="BK7" s="182">
        <v>104.3</v>
      </c>
      <c r="BL7" s="15" t="s">
        <v>215</v>
      </c>
      <c r="BM7" s="15" t="s">
        <v>214</v>
      </c>
      <c r="BN7" s="15" t="s">
        <v>214</v>
      </c>
      <c r="BO7" s="68">
        <v>27173</v>
      </c>
      <c r="BP7" s="182">
        <v>15</v>
      </c>
      <c r="BQ7" s="182">
        <v>55.2</v>
      </c>
      <c r="BR7" s="14">
        <v>28822</v>
      </c>
      <c r="BS7" s="15">
        <v>23</v>
      </c>
      <c r="BT7" s="15">
        <v>79.8</v>
      </c>
      <c r="BU7" s="68">
        <v>13266</v>
      </c>
      <c r="BV7" s="182">
        <v>16</v>
      </c>
      <c r="BW7" s="182">
        <v>120.6</v>
      </c>
      <c r="BX7" s="18"/>
      <c r="BY7" s="19">
        <v>1585</v>
      </c>
      <c r="BZ7" s="19">
        <v>4132</v>
      </c>
      <c r="CA7" s="19">
        <v>1917</v>
      </c>
      <c r="CB7" s="19">
        <v>3249</v>
      </c>
      <c r="CC7" s="19">
        <v>2881</v>
      </c>
      <c r="CD7" s="19">
        <v>2571</v>
      </c>
      <c r="CE7" s="19">
        <v>2907</v>
      </c>
      <c r="CF7" s="19">
        <v>3665</v>
      </c>
      <c r="CG7" s="68">
        <v>13861</v>
      </c>
      <c r="CH7" s="68">
        <v>7345</v>
      </c>
      <c r="CI7" s="182">
        <v>47</v>
      </c>
      <c r="CJ7" s="182">
        <v>84</v>
      </c>
      <c r="CK7" s="182">
        <v>0</v>
      </c>
      <c r="CL7" s="182">
        <v>350</v>
      </c>
      <c r="CM7" s="68">
        <v>1220</v>
      </c>
      <c r="CN7" s="37">
        <v>8321</v>
      </c>
      <c r="CO7" s="38">
        <v>62820</v>
      </c>
      <c r="CP7" s="38">
        <v>47905</v>
      </c>
      <c r="CQ7" s="42">
        <v>25012</v>
      </c>
      <c r="CR7" s="42">
        <v>51113</v>
      </c>
      <c r="CS7" s="42">
        <v>53969</v>
      </c>
      <c r="CT7" s="42">
        <v>59097</v>
      </c>
      <c r="CU7" s="42">
        <v>77353</v>
      </c>
      <c r="CV7" s="42">
        <v>61429</v>
      </c>
      <c r="CW7" s="42">
        <v>82188</v>
      </c>
      <c r="CX7" s="46">
        <v>0.247</v>
      </c>
      <c r="CY7" s="46">
        <v>0.28129999999999999</v>
      </c>
      <c r="CZ7" s="46">
        <v>0.30690000000000001</v>
      </c>
      <c r="DA7" s="46">
        <v>0.14230000000000001</v>
      </c>
      <c r="DB7" s="46">
        <v>2.2499999999999999E-2</v>
      </c>
    </row>
    <row r="8" spans="1:222" ht="21" customHeight="1" thickBot="1" x14ac:dyDescent="0.25">
      <c r="A8" s="20" t="s">
        <v>330</v>
      </c>
      <c r="B8" s="21">
        <v>2903</v>
      </c>
      <c r="C8" s="68">
        <v>17762</v>
      </c>
      <c r="D8" s="22">
        <v>20</v>
      </c>
      <c r="E8" s="182">
        <v>0</v>
      </c>
      <c r="F8" s="21">
        <v>1326</v>
      </c>
      <c r="G8" s="68">
        <v>8815</v>
      </c>
      <c r="H8" s="21">
        <v>1577</v>
      </c>
      <c r="I8" s="68">
        <v>8947</v>
      </c>
      <c r="J8" s="23">
        <v>0.45679999999999998</v>
      </c>
      <c r="K8" s="23">
        <v>0.54320000000000002</v>
      </c>
      <c r="L8" s="182">
        <v>43.2</v>
      </c>
      <c r="M8" s="21">
        <v>2819</v>
      </c>
      <c r="N8" s="22">
        <v>455</v>
      </c>
      <c r="O8" s="23">
        <v>0.16139999999999999</v>
      </c>
      <c r="P8" s="22">
        <v>176</v>
      </c>
      <c r="Q8" s="182">
        <v>17</v>
      </c>
      <c r="R8" s="182">
        <v>13</v>
      </c>
      <c r="S8" s="22">
        <v>0</v>
      </c>
      <c r="T8" s="182">
        <v>17.100000000000001</v>
      </c>
      <c r="U8" s="22">
        <v>0</v>
      </c>
      <c r="V8" s="182">
        <v>13.1</v>
      </c>
      <c r="W8" s="21">
        <v>2301</v>
      </c>
      <c r="X8" s="22">
        <v>479</v>
      </c>
      <c r="Y8" s="23">
        <v>0.20799999999999999</v>
      </c>
      <c r="Z8" s="22">
        <v>366</v>
      </c>
      <c r="AA8" s="23">
        <v>0.15920000000000001</v>
      </c>
      <c r="AB8" s="21">
        <v>2939</v>
      </c>
      <c r="AC8" s="22">
        <v>9</v>
      </c>
      <c r="AD8" s="22">
        <v>306.23</v>
      </c>
      <c r="AE8" s="21">
        <v>2919</v>
      </c>
      <c r="AF8" s="22">
        <v>4</v>
      </c>
      <c r="AG8" s="22">
        <v>137</v>
      </c>
      <c r="AH8" s="21">
        <v>2524</v>
      </c>
      <c r="AI8" s="182">
        <v>54</v>
      </c>
      <c r="AJ8" s="182">
        <v>304</v>
      </c>
      <c r="AK8" s="22">
        <v>0</v>
      </c>
      <c r="AL8" s="22">
        <v>0</v>
      </c>
      <c r="AM8" s="182">
        <v>27</v>
      </c>
      <c r="AN8" s="182" t="s">
        <v>215</v>
      </c>
      <c r="AO8" s="182" t="s">
        <v>215</v>
      </c>
      <c r="AP8" s="182">
        <v>0</v>
      </c>
      <c r="AQ8" s="182">
        <v>0</v>
      </c>
      <c r="AR8" s="21">
        <v>2235</v>
      </c>
      <c r="AS8" s="22">
        <v>400</v>
      </c>
      <c r="AT8" s="23">
        <v>0.17699999999999999</v>
      </c>
      <c r="AU8" s="21">
        <v>2971</v>
      </c>
      <c r="AV8" s="22">
        <v>73.709999999999994</v>
      </c>
      <c r="AW8" s="68">
        <v>2962</v>
      </c>
      <c r="AX8" s="182">
        <v>20</v>
      </c>
      <c r="AY8" s="182">
        <v>135.1</v>
      </c>
      <c r="AZ8" s="68">
        <v>2301</v>
      </c>
      <c r="BA8" s="182">
        <v>5.7</v>
      </c>
      <c r="BB8" s="22">
        <v>0</v>
      </c>
      <c r="BC8" s="22">
        <v>0</v>
      </c>
      <c r="BD8" s="22" t="s">
        <v>215</v>
      </c>
      <c r="BE8" s="22" t="s">
        <v>215</v>
      </c>
      <c r="BF8" s="22">
        <v>185</v>
      </c>
      <c r="BG8" s="22">
        <v>5</v>
      </c>
      <c r="BH8" s="23">
        <v>2.7E-2</v>
      </c>
      <c r="BI8" s="182" t="s">
        <v>215</v>
      </c>
      <c r="BJ8" s="182" t="s">
        <v>214</v>
      </c>
      <c r="BK8" s="182" t="s">
        <v>214</v>
      </c>
      <c r="BL8" s="22" t="s">
        <v>215</v>
      </c>
      <c r="BM8" s="22" t="s">
        <v>214</v>
      </c>
      <c r="BN8" s="22" t="s">
        <v>214</v>
      </c>
      <c r="BO8" s="182" t="s">
        <v>215</v>
      </c>
      <c r="BP8" s="182" t="s">
        <v>214</v>
      </c>
      <c r="BQ8" s="182" t="s">
        <v>214</v>
      </c>
      <c r="BR8" s="21">
        <v>3636</v>
      </c>
      <c r="BS8" s="22">
        <v>3</v>
      </c>
      <c r="BT8" s="22">
        <v>82.5</v>
      </c>
      <c r="BU8" s="182" t="s">
        <v>215</v>
      </c>
      <c r="BV8" s="182" t="s">
        <v>214</v>
      </c>
      <c r="BW8" s="182" t="s">
        <v>214</v>
      </c>
      <c r="BX8" s="24"/>
      <c r="BY8" s="24">
        <v>141</v>
      </c>
      <c r="BZ8" s="24">
        <v>481</v>
      </c>
      <c r="CA8" s="24">
        <v>294</v>
      </c>
      <c r="CB8" s="24">
        <v>262</v>
      </c>
      <c r="CC8" s="24">
        <v>392</v>
      </c>
      <c r="CD8" s="24">
        <v>424</v>
      </c>
      <c r="CE8" s="24">
        <v>416</v>
      </c>
      <c r="CF8" s="24">
        <v>493</v>
      </c>
      <c r="CG8" s="68">
        <v>2565</v>
      </c>
      <c r="CH8" s="182">
        <v>307</v>
      </c>
      <c r="CI8" s="182">
        <v>0</v>
      </c>
      <c r="CJ8" s="182">
        <v>0</v>
      </c>
      <c r="CK8" s="182">
        <v>2</v>
      </c>
      <c r="CL8" s="182">
        <v>0</v>
      </c>
      <c r="CM8" s="182">
        <v>29</v>
      </c>
      <c r="CN8" s="39">
        <v>1052</v>
      </c>
      <c r="CO8" s="40">
        <v>74995</v>
      </c>
      <c r="CP8" s="40">
        <v>60469</v>
      </c>
      <c r="CQ8" s="44">
        <v>22679</v>
      </c>
      <c r="CR8" s="44">
        <v>72564</v>
      </c>
      <c r="CS8" s="44">
        <v>94167</v>
      </c>
      <c r="CT8" s="43" t="s">
        <v>215</v>
      </c>
      <c r="CU8" s="44">
        <v>195303</v>
      </c>
      <c r="CV8" s="43" t="s">
        <v>215</v>
      </c>
      <c r="CW8" s="44">
        <v>66875</v>
      </c>
      <c r="CX8" s="45">
        <v>0.22620000000000001</v>
      </c>
      <c r="CY8" s="45">
        <v>0.21859999999999999</v>
      </c>
      <c r="CZ8" s="45">
        <v>0.3165</v>
      </c>
      <c r="DA8" s="45">
        <v>0.19009999999999999</v>
      </c>
      <c r="DB8" s="45">
        <v>4.8500000000000001E-2</v>
      </c>
    </row>
    <row r="9" spans="1:222" ht="16" x14ac:dyDescent="0.2">
      <c r="A9" s="13" t="s">
        <v>331</v>
      </c>
      <c r="B9" s="14">
        <v>15591</v>
      </c>
      <c r="C9" s="68">
        <v>92080</v>
      </c>
      <c r="D9" s="15">
        <v>30</v>
      </c>
      <c r="E9" s="182">
        <v>0.1</v>
      </c>
      <c r="F9" s="14">
        <v>7582</v>
      </c>
      <c r="G9" s="68">
        <v>44715</v>
      </c>
      <c r="H9" s="14">
        <v>8009</v>
      </c>
      <c r="I9" s="68">
        <v>47365</v>
      </c>
      <c r="J9" s="16">
        <v>0.48630000000000001</v>
      </c>
      <c r="K9" s="16">
        <v>0.51370000000000005</v>
      </c>
      <c r="L9" s="69">
        <v>40.700000000000003</v>
      </c>
      <c r="M9" s="14">
        <v>15139</v>
      </c>
      <c r="N9" s="14">
        <v>2317</v>
      </c>
      <c r="O9" s="16">
        <v>0.153</v>
      </c>
      <c r="P9" s="15">
        <v>596</v>
      </c>
      <c r="Q9" s="182">
        <v>130</v>
      </c>
      <c r="R9" s="182">
        <v>78</v>
      </c>
      <c r="S9" s="15">
        <v>12</v>
      </c>
      <c r="T9" s="182">
        <v>22.6</v>
      </c>
      <c r="U9" s="15">
        <v>20.13</v>
      </c>
      <c r="V9" s="182">
        <v>13.5</v>
      </c>
      <c r="W9" s="14">
        <v>11965</v>
      </c>
      <c r="X9" s="14">
        <v>2692</v>
      </c>
      <c r="Y9" s="16">
        <v>0.22500000000000001</v>
      </c>
      <c r="Z9" s="14">
        <v>1602</v>
      </c>
      <c r="AA9" s="16">
        <v>0.13389999999999999</v>
      </c>
      <c r="AB9" s="14">
        <v>15314</v>
      </c>
      <c r="AC9" s="15">
        <v>138</v>
      </c>
      <c r="AD9" s="15">
        <v>901.14</v>
      </c>
      <c r="AE9" s="14">
        <v>15524</v>
      </c>
      <c r="AF9" s="15">
        <v>38</v>
      </c>
      <c r="AG9" s="15">
        <v>244.8</v>
      </c>
      <c r="AH9" s="14">
        <v>12859</v>
      </c>
      <c r="AI9" s="182">
        <v>974</v>
      </c>
      <c r="AJ9" s="70">
        <v>1057.8</v>
      </c>
      <c r="AK9" s="15" t="s">
        <v>213</v>
      </c>
      <c r="AL9" s="15" t="s">
        <v>302</v>
      </c>
      <c r="AM9" s="69">
        <v>176</v>
      </c>
      <c r="AN9" s="69" t="s">
        <v>215</v>
      </c>
      <c r="AO9" s="69" t="s">
        <v>215</v>
      </c>
      <c r="AP9" s="182">
        <v>9</v>
      </c>
      <c r="AQ9" s="182">
        <v>8.6999999999999993</v>
      </c>
      <c r="AR9" s="14">
        <v>11572</v>
      </c>
      <c r="AS9" s="14">
        <v>2812</v>
      </c>
      <c r="AT9" s="16">
        <v>0.24399999999999999</v>
      </c>
      <c r="AU9" s="14">
        <v>15362</v>
      </c>
      <c r="AV9" s="15">
        <v>72.8</v>
      </c>
      <c r="AW9" s="71">
        <v>15379</v>
      </c>
      <c r="AX9" s="69">
        <v>102</v>
      </c>
      <c r="AY9" s="69">
        <v>132.6</v>
      </c>
      <c r="AZ9" s="71">
        <v>11965</v>
      </c>
      <c r="BA9" s="69">
        <v>5.7</v>
      </c>
      <c r="BB9" s="14">
        <v>15314</v>
      </c>
      <c r="BC9" s="15">
        <v>1</v>
      </c>
      <c r="BD9" s="14">
        <v>15314</v>
      </c>
      <c r="BE9" s="15">
        <v>6.5</v>
      </c>
      <c r="BF9" s="15">
        <v>977</v>
      </c>
      <c r="BG9" s="15">
        <v>39</v>
      </c>
      <c r="BH9" s="16">
        <v>3.9899999999999998E-2</v>
      </c>
      <c r="BI9" s="68">
        <v>10869</v>
      </c>
      <c r="BJ9" s="182">
        <v>12</v>
      </c>
      <c r="BK9" s="182">
        <v>110.4</v>
      </c>
      <c r="BL9" s="15" t="s">
        <v>215</v>
      </c>
      <c r="BM9" s="15" t="s">
        <v>214</v>
      </c>
      <c r="BN9" s="15" t="s">
        <v>214</v>
      </c>
      <c r="BO9" s="68">
        <v>21052</v>
      </c>
      <c r="BP9" s="182">
        <v>8</v>
      </c>
      <c r="BQ9" s="182">
        <v>38</v>
      </c>
      <c r="BR9" s="14">
        <v>21352</v>
      </c>
      <c r="BS9" s="15">
        <v>18</v>
      </c>
      <c r="BT9" s="15">
        <v>84.3</v>
      </c>
      <c r="BU9" s="68">
        <v>9685</v>
      </c>
      <c r="BV9" s="182">
        <v>16</v>
      </c>
      <c r="BW9" s="182">
        <v>165.2</v>
      </c>
      <c r="BX9" s="18"/>
      <c r="BY9" s="18">
        <v>921</v>
      </c>
      <c r="BZ9" s="19">
        <v>2709</v>
      </c>
      <c r="CA9" s="19">
        <v>1411</v>
      </c>
      <c r="CB9" s="19">
        <v>1778</v>
      </c>
      <c r="CC9" s="19">
        <v>1987</v>
      </c>
      <c r="CD9" s="19">
        <v>1786</v>
      </c>
      <c r="CE9" s="19">
        <v>2123</v>
      </c>
      <c r="CF9" s="19">
        <v>2876</v>
      </c>
      <c r="CG9" s="68">
        <v>6737</v>
      </c>
      <c r="CH9" s="68">
        <v>8138</v>
      </c>
      <c r="CI9" s="182">
        <v>68</v>
      </c>
      <c r="CJ9" s="182">
        <v>9</v>
      </c>
      <c r="CK9" s="182">
        <v>0</v>
      </c>
      <c r="CL9" s="182">
        <v>403</v>
      </c>
      <c r="CM9" s="182">
        <v>236</v>
      </c>
      <c r="CN9" s="37">
        <v>5826</v>
      </c>
      <c r="CO9" s="38">
        <v>64495</v>
      </c>
      <c r="CP9" s="38">
        <v>46865</v>
      </c>
      <c r="CQ9" s="42">
        <v>24311</v>
      </c>
      <c r="CR9" s="42">
        <v>53385</v>
      </c>
      <c r="CS9" s="42">
        <v>73668</v>
      </c>
      <c r="CT9" s="42">
        <v>57794</v>
      </c>
      <c r="CU9" s="42">
        <v>53901</v>
      </c>
      <c r="CV9" s="42">
        <v>107794</v>
      </c>
      <c r="CW9" s="42">
        <v>81750</v>
      </c>
      <c r="CX9" s="46">
        <v>0.28360000000000002</v>
      </c>
      <c r="CY9" s="46">
        <v>0.24390000000000001</v>
      </c>
      <c r="CZ9" s="46">
        <v>0.25919999999999999</v>
      </c>
      <c r="DA9" s="46">
        <v>0.19239999999999999</v>
      </c>
      <c r="DB9" s="46">
        <v>2.0899999999999998E-2</v>
      </c>
    </row>
    <row r="10" spans="1:222" ht="16" x14ac:dyDescent="0.2">
      <c r="A10" s="20" t="s">
        <v>332</v>
      </c>
      <c r="B10" s="21">
        <v>8704</v>
      </c>
      <c r="C10" s="68">
        <v>52060</v>
      </c>
      <c r="D10" s="22">
        <v>25</v>
      </c>
      <c r="E10" s="182">
        <v>0.1</v>
      </c>
      <c r="F10" s="21">
        <v>4357</v>
      </c>
      <c r="G10" s="68">
        <v>27749</v>
      </c>
      <c r="H10" s="21">
        <v>4347</v>
      </c>
      <c r="I10" s="68">
        <v>24311</v>
      </c>
      <c r="J10" s="23">
        <v>0.50060000000000004</v>
      </c>
      <c r="K10" s="23">
        <v>0.49940000000000001</v>
      </c>
      <c r="L10" s="182">
        <v>44</v>
      </c>
      <c r="M10" s="21">
        <v>7919</v>
      </c>
      <c r="N10" s="21">
        <v>1738</v>
      </c>
      <c r="O10" s="23">
        <v>0.2195</v>
      </c>
      <c r="P10" s="22">
        <v>305</v>
      </c>
      <c r="Q10" s="182">
        <v>48</v>
      </c>
      <c r="R10" s="182">
        <v>44</v>
      </c>
      <c r="S10" s="22">
        <v>0</v>
      </c>
      <c r="T10" s="182">
        <v>17.100000000000001</v>
      </c>
      <c r="U10" s="22">
        <v>0</v>
      </c>
      <c r="V10" s="182">
        <v>15.7</v>
      </c>
      <c r="W10" s="21">
        <v>6935</v>
      </c>
      <c r="X10" s="21">
        <v>1775</v>
      </c>
      <c r="Y10" s="23">
        <v>0.25600000000000001</v>
      </c>
      <c r="Z10" s="22">
        <v>938</v>
      </c>
      <c r="AA10" s="23">
        <v>0.1353</v>
      </c>
      <c r="AB10" s="21">
        <v>8689</v>
      </c>
      <c r="AC10" s="22">
        <v>39</v>
      </c>
      <c r="AD10" s="22">
        <v>448.84</v>
      </c>
      <c r="AE10" s="21">
        <v>8639</v>
      </c>
      <c r="AF10" s="22">
        <v>16</v>
      </c>
      <c r="AG10" s="22">
        <v>185.2</v>
      </c>
      <c r="AH10" s="21">
        <v>7487</v>
      </c>
      <c r="AI10" s="182">
        <v>322</v>
      </c>
      <c r="AJ10" s="182">
        <v>618.5</v>
      </c>
      <c r="AK10" s="22" t="s">
        <v>213</v>
      </c>
      <c r="AL10" s="22" t="s">
        <v>302</v>
      </c>
      <c r="AM10" s="182">
        <v>90</v>
      </c>
      <c r="AN10" s="182" t="s">
        <v>215</v>
      </c>
      <c r="AO10" s="182" t="s">
        <v>215</v>
      </c>
      <c r="AP10" s="182">
        <v>3</v>
      </c>
      <c r="AQ10" s="2" t="s">
        <v>308</v>
      </c>
      <c r="AR10" s="21">
        <v>6726</v>
      </c>
      <c r="AS10" s="21">
        <v>1426</v>
      </c>
      <c r="AT10" s="23">
        <v>0.21299999999999999</v>
      </c>
      <c r="AU10" s="21">
        <v>8676</v>
      </c>
      <c r="AV10" s="22">
        <v>73.61</v>
      </c>
      <c r="AW10" s="68">
        <v>8687</v>
      </c>
      <c r="AX10" s="182">
        <v>31</v>
      </c>
      <c r="AY10" s="182">
        <v>71.400000000000006</v>
      </c>
      <c r="AZ10" s="68">
        <v>6935</v>
      </c>
      <c r="BA10" s="182">
        <v>5.8</v>
      </c>
      <c r="BB10" s="21">
        <v>8689</v>
      </c>
      <c r="BC10" s="22">
        <v>1</v>
      </c>
      <c r="BD10" s="21">
        <v>8689</v>
      </c>
      <c r="BE10" s="22">
        <v>11.5</v>
      </c>
      <c r="BF10" s="22">
        <v>440</v>
      </c>
      <c r="BG10" s="22">
        <v>35</v>
      </c>
      <c r="BH10" s="23">
        <v>7.9500000000000001E-2</v>
      </c>
      <c r="BI10" s="68">
        <v>5993</v>
      </c>
      <c r="BJ10" s="182">
        <v>7</v>
      </c>
      <c r="BK10" s="182">
        <v>116.8</v>
      </c>
      <c r="BL10" s="22" t="s">
        <v>215</v>
      </c>
      <c r="BM10" s="22" t="s">
        <v>214</v>
      </c>
      <c r="BN10" s="22" t="s">
        <v>214</v>
      </c>
      <c r="BO10" s="182" t="s">
        <v>215</v>
      </c>
      <c r="BP10" s="182" t="s">
        <v>214</v>
      </c>
      <c r="BQ10" s="182" t="s">
        <v>214</v>
      </c>
      <c r="BR10" s="21">
        <v>12145</v>
      </c>
      <c r="BS10" s="22">
        <v>6</v>
      </c>
      <c r="BT10" s="22">
        <v>49.4</v>
      </c>
      <c r="BU10" s="68">
        <v>5405</v>
      </c>
      <c r="BV10" s="182">
        <v>4</v>
      </c>
      <c r="BW10" s="182">
        <v>74</v>
      </c>
      <c r="BX10" s="24"/>
      <c r="BY10" s="24">
        <v>266</v>
      </c>
      <c r="BZ10" s="25">
        <v>1357</v>
      </c>
      <c r="CA10" s="24">
        <v>474</v>
      </c>
      <c r="CB10" s="24">
        <v>910</v>
      </c>
      <c r="CC10" s="25">
        <v>1379</v>
      </c>
      <c r="CD10" s="24">
        <v>915</v>
      </c>
      <c r="CE10" s="25">
        <v>1552</v>
      </c>
      <c r="CF10" s="25">
        <v>1851</v>
      </c>
      <c r="CG10" s="68">
        <v>4985</v>
      </c>
      <c r="CH10" s="68">
        <v>3036</v>
      </c>
      <c r="CI10" s="182">
        <v>2</v>
      </c>
      <c r="CJ10" s="182">
        <v>2</v>
      </c>
      <c r="CK10" s="182">
        <v>0</v>
      </c>
      <c r="CL10" s="182">
        <v>299</v>
      </c>
      <c r="CM10" s="182">
        <v>380</v>
      </c>
      <c r="CN10" s="39">
        <v>3297</v>
      </c>
      <c r="CO10" s="40">
        <v>48434</v>
      </c>
      <c r="CP10" s="40">
        <v>31463</v>
      </c>
      <c r="CQ10" s="44">
        <v>23161</v>
      </c>
      <c r="CR10" s="44">
        <v>31690</v>
      </c>
      <c r="CS10" s="44">
        <v>62264</v>
      </c>
      <c r="CT10" s="44">
        <v>40039</v>
      </c>
      <c r="CU10" s="44">
        <v>49979</v>
      </c>
      <c r="CV10" s="43" t="s">
        <v>215</v>
      </c>
      <c r="CW10" s="43" t="s">
        <v>215</v>
      </c>
      <c r="CX10" s="45">
        <v>0.41460000000000002</v>
      </c>
      <c r="CY10" s="45">
        <v>0.27179999999999999</v>
      </c>
      <c r="CZ10" s="45">
        <v>0.17829999999999999</v>
      </c>
      <c r="DA10" s="45">
        <v>0.13320000000000001</v>
      </c>
      <c r="DB10" s="45">
        <v>2.0999999999999999E-3</v>
      </c>
    </row>
    <row r="11" spans="1:222" ht="16" x14ac:dyDescent="0.2">
      <c r="A11" s="13" t="s">
        <v>333</v>
      </c>
      <c r="B11" s="14">
        <v>7726</v>
      </c>
      <c r="C11" s="68">
        <v>47336</v>
      </c>
      <c r="D11" s="15">
        <v>37</v>
      </c>
      <c r="E11" s="182">
        <v>0.1</v>
      </c>
      <c r="F11" s="14">
        <v>3794</v>
      </c>
      <c r="G11" s="68">
        <v>22946</v>
      </c>
      <c r="H11" s="14">
        <v>3932</v>
      </c>
      <c r="I11" s="68">
        <v>24390</v>
      </c>
      <c r="J11" s="16">
        <v>0.49109999999999998</v>
      </c>
      <c r="K11" s="16">
        <v>0.50890000000000002</v>
      </c>
      <c r="L11" s="69">
        <v>47.1</v>
      </c>
      <c r="M11" s="14">
        <v>7639</v>
      </c>
      <c r="N11" s="14">
        <v>1434</v>
      </c>
      <c r="O11" s="16">
        <v>0.18770000000000001</v>
      </c>
      <c r="P11" s="15">
        <v>291</v>
      </c>
      <c r="Q11" s="182">
        <v>21</v>
      </c>
      <c r="R11" s="182">
        <v>16</v>
      </c>
      <c r="S11" s="15">
        <v>0</v>
      </c>
      <c r="T11" s="182">
        <v>8.5</v>
      </c>
      <c r="U11" s="15">
        <v>0</v>
      </c>
      <c r="V11" s="182">
        <v>6.5</v>
      </c>
      <c r="W11" s="14">
        <v>6276</v>
      </c>
      <c r="X11" s="14">
        <v>1343</v>
      </c>
      <c r="Y11" s="16">
        <v>0.214</v>
      </c>
      <c r="Z11" s="15">
        <v>858</v>
      </c>
      <c r="AA11" s="16">
        <v>0.1368</v>
      </c>
      <c r="AB11" s="14">
        <v>7841</v>
      </c>
      <c r="AC11" s="15">
        <v>21</v>
      </c>
      <c r="AD11" s="15">
        <v>267.82</v>
      </c>
      <c r="AE11" s="14">
        <v>7749</v>
      </c>
      <c r="AF11" s="15">
        <v>15</v>
      </c>
      <c r="AG11" s="15">
        <v>193.6</v>
      </c>
      <c r="AH11" s="14">
        <v>6797</v>
      </c>
      <c r="AI11" s="182">
        <v>209</v>
      </c>
      <c r="AJ11" s="182">
        <v>441.5</v>
      </c>
      <c r="AK11" s="15" t="s">
        <v>213</v>
      </c>
      <c r="AL11" s="15" t="s">
        <v>302</v>
      </c>
      <c r="AM11" s="69">
        <v>78</v>
      </c>
      <c r="AN11" s="69" t="s">
        <v>215</v>
      </c>
      <c r="AO11" s="69" t="s">
        <v>215</v>
      </c>
      <c r="AP11" s="182">
        <v>2</v>
      </c>
      <c r="AQ11" s="2" t="s">
        <v>308</v>
      </c>
      <c r="AR11" s="14">
        <v>6154</v>
      </c>
      <c r="AS11" s="14">
        <v>1200</v>
      </c>
      <c r="AT11" s="16">
        <v>0.19500000000000001</v>
      </c>
      <c r="AU11" s="14">
        <v>7921</v>
      </c>
      <c r="AV11" s="15">
        <v>76.67</v>
      </c>
      <c r="AW11" s="71">
        <v>7891</v>
      </c>
      <c r="AX11" s="69">
        <v>42</v>
      </c>
      <c r="AY11" s="69">
        <v>106.4</v>
      </c>
      <c r="AZ11" s="71">
        <v>6276</v>
      </c>
      <c r="BA11" s="69">
        <v>5.7</v>
      </c>
      <c r="BB11" s="14">
        <v>7841</v>
      </c>
      <c r="BC11" s="15">
        <v>3</v>
      </c>
      <c r="BD11" s="17">
        <v>2613.6999999999998</v>
      </c>
      <c r="BE11" s="15">
        <v>38.299999999999997</v>
      </c>
      <c r="BF11" s="15">
        <v>413</v>
      </c>
      <c r="BG11" s="15">
        <v>16</v>
      </c>
      <c r="BH11" s="16">
        <v>3.8699999999999998E-2</v>
      </c>
      <c r="BI11" s="68">
        <v>6482</v>
      </c>
      <c r="BJ11" s="182">
        <v>8</v>
      </c>
      <c r="BK11" s="182">
        <v>123.4</v>
      </c>
      <c r="BL11" s="15" t="s">
        <v>215</v>
      </c>
      <c r="BM11" s="15" t="s">
        <v>214</v>
      </c>
      <c r="BN11" s="15" t="s">
        <v>214</v>
      </c>
      <c r="BO11" s="68">
        <v>13452</v>
      </c>
      <c r="BP11" s="182">
        <v>6</v>
      </c>
      <c r="BQ11" s="182">
        <v>44.6</v>
      </c>
      <c r="BR11" s="14">
        <v>12784</v>
      </c>
      <c r="BS11" s="15">
        <v>9</v>
      </c>
      <c r="BT11" s="15">
        <v>70.400000000000006</v>
      </c>
      <c r="BU11" s="68">
        <v>7568</v>
      </c>
      <c r="BV11" s="182">
        <v>8</v>
      </c>
      <c r="BW11" s="182">
        <v>105.7</v>
      </c>
      <c r="BX11" s="18"/>
      <c r="BY11" s="18">
        <v>315</v>
      </c>
      <c r="BZ11" s="19">
        <v>1176</v>
      </c>
      <c r="CA11" s="18">
        <v>540</v>
      </c>
      <c r="CB11" s="18">
        <v>654</v>
      </c>
      <c r="CC11" s="18">
        <v>953</v>
      </c>
      <c r="CD11" s="18">
        <v>910</v>
      </c>
      <c r="CE11" s="19">
        <v>1265</v>
      </c>
      <c r="CF11" s="19">
        <v>1913</v>
      </c>
      <c r="CG11" s="68">
        <v>5302</v>
      </c>
      <c r="CH11" s="68">
        <v>2175</v>
      </c>
      <c r="CI11" s="182">
        <v>6</v>
      </c>
      <c r="CJ11" s="182">
        <v>0</v>
      </c>
      <c r="CK11" s="182">
        <v>0</v>
      </c>
      <c r="CL11" s="182">
        <v>85</v>
      </c>
      <c r="CM11" s="182">
        <v>158</v>
      </c>
      <c r="CN11" s="37">
        <v>3015</v>
      </c>
      <c r="CO11" s="38">
        <v>71037</v>
      </c>
      <c r="CP11" s="38">
        <v>50754</v>
      </c>
      <c r="CQ11" s="42">
        <v>17546</v>
      </c>
      <c r="CR11" s="42">
        <v>54880</v>
      </c>
      <c r="CS11" s="42">
        <v>46447</v>
      </c>
      <c r="CT11" s="42">
        <v>101060</v>
      </c>
      <c r="CU11" s="42">
        <v>170192</v>
      </c>
      <c r="CV11" s="41" t="s">
        <v>215</v>
      </c>
      <c r="CW11" s="41" t="s">
        <v>215</v>
      </c>
      <c r="CX11" s="46">
        <v>0.23150000000000001</v>
      </c>
      <c r="CY11" s="46">
        <v>0.26269999999999999</v>
      </c>
      <c r="CZ11" s="46">
        <v>0.23419999999999999</v>
      </c>
      <c r="DA11" s="46">
        <v>0.23380000000000001</v>
      </c>
      <c r="DB11" s="46">
        <v>3.78E-2</v>
      </c>
    </row>
    <row r="12" spans="1:222" s="176" customFormat="1" ht="19.5" customHeight="1" thickBot="1" x14ac:dyDescent="0.25">
      <c r="A12" s="160" t="s">
        <v>334</v>
      </c>
      <c r="B12" s="161">
        <v>21715</v>
      </c>
      <c r="C12" s="165">
        <v>129150</v>
      </c>
      <c r="D12" s="163">
        <v>84</v>
      </c>
      <c r="E12" s="164">
        <v>0.2</v>
      </c>
      <c r="F12" s="161">
        <v>10508</v>
      </c>
      <c r="G12" s="165">
        <v>60679</v>
      </c>
      <c r="H12" s="161">
        <v>11207</v>
      </c>
      <c r="I12" s="165">
        <v>68471</v>
      </c>
      <c r="J12" s="166">
        <v>0.4839</v>
      </c>
      <c r="K12" s="166">
        <v>0.5161</v>
      </c>
      <c r="L12" s="164">
        <v>38.5</v>
      </c>
      <c r="M12" s="161">
        <v>21469</v>
      </c>
      <c r="N12" s="161">
        <v>2634</v>
      </c>
      <c r="O12" s="166">
        <v>0.1227</v>
      </c>
      <c r="P12" s="163">
        <v>526</v>
      </c>
      <c r="Q12" s="164">
        <v>194</v>
      </c>
      <c r="R12" s="164">
        <v>147</v>
      </c>
      <c r="S12" s="163">
        <v>0</v>
      </c>
      <c r="T12" s="164">
        <v>21.5</v>
      </c>
      <c r="U12" s="163">
        <v>0</v>
      </c>
      <c r="V12" s="164">
        <v>16.3</v>
      </c>
      <c r="W12" s="161">
        <v>16278</v>
      </c>
      <c r="X12" s="161">
        <v>3386</v>
      </c>
      <c r="Y12" s="166">
        <v>0.20799999999999999</v>
      </c>
      <c r="Z12" s="161">
        <v>2258</v>
      </c>
      <c r="AA12" s="166">
        <v>0.13880000000000001</v>
      </c>
      <c r="AB12" s="161">
        <v>21713</v>
      </c>
      <c r="AC12" s="163">
        <v>197</v>
      </c>
      <c r="AD12" s="163">
        <v>907.29</v>
      </c>
      <c r="AE12" s="161">
        <v>21633</v>
      </c>
      <c r="AF12" s="163">
        <v>111</v>
      </c>
      <c r="AG12" s="163">
        <v>513.1</v>
      </c>
      <c r="AH12" s="161">
        <v>17975</v>
      </c>
      <c r="AI12" s="165">
        <v>1491</v>
      </c>
      <c r="AJ12" s="167">
        <v>1154.5</v>
      </c>
      <c r="AK12" s="163" t="s">
        <v>213</v>
      </c>
      <c r="AL12" s="163" t="s">
        <v>302</v>
      </c>
      <c r="AM12" s="164">
        <v>266</v>
      </c>
      <c r="AN12" s="164" t="s">
        <v>215</v>
      </c>
      <c r="AO12" s="164" t="s">
        <v>215</v>
      </c>
      <c r="AP12" s="164">
        <v>14</v>
      </c>
      <c r="AQ12" s="164">
        <v>8.8000000000000007</v>
      </c>
      <c r="AR12" s="161">
        <v>15760</v>
      </c>
      <c r="AS12" s="161">
        <v>4271</v>
      </c>
      <c r="AT12" s="166">
        <v>0.27100000000000002</v>
      </c>
      <c r="AU12" s="161">
        <v>21312</v>
      </c>
      <c r="AV12" s="163">
        <v>74.17</v>
      </c>
      <c r="AW12" s="165">
        <v>21470</v>
      </c>
      <c r="AX12" s="164">
        <v>126</v>
      </c>
      <c r="AY12" s="164">
        <v>117.4</v>
      </c>
      <c r="AZ12" s="165">
        <v>16278</v>
      </c>
      <c r="BA12" s="164">
        <v>5.5</v>
      </c>
      <c r="BB12" s="161">
        <v>21713</v>
      </c>
      <c r="BC12" s="163">
        <v>15</v>
      </c>
      <c r="BD12" s="168">
        <v>1447.5</v>
      </c>
      <c r="BE12" s="163">
        <v>69.099999999999994</v>
      </c>
      <c r="BF12" s="161">
        <v>1028</v>
      </c>
      <c r="BG12" s="163">
        <v>116</v>
      </c>
      <c r="BH12" s="166">
        <v>0.1128</v>
      </c>
      <c r="BI12" s="165">
        <v>13494</v>
      </c>
      <c r="BJ12" s="164">
        <v>19</v>
      </c>
      <c r="BK12" s="164">
        <v>140.80000000000001</v>
      </c>
      <c r="BL12" s="163" t="s">
        <v>215</v>
      </c>
      <c r="BM12" s="163" t="s">
        <v>214</v>
      </c>
      <c r="BN12" s="163" t="s">
        <v>214</v>
      </c>
      <c r="BO12" s="165">
        <v>28192</v>
      </c>
      <c r="BP12" s="164">
        <v>17</v>
      </c>
      <c r="BQ12" s="164">
        <v>60.3</v>
      </c>
      <c r="BR12" s="161">
        <v>30349</v>
      </c>
      <c r="BS12" s="163">
        <v>20</v>
      </c>
      <c r="BT12" s="163">
        <v>65.900000000000006</v>
      </c>
      <c r="BU12" s="165">
        <v>13706</v>
      </c>
      <c r="BV12" s="164">
        <v>25</v>
      </c>
      <c r="BW12" s="164">
        <v>182.4</v>
      </c>
      <c r="BX12" s="169"/>
      <c r="BY12" s="177">
        <v>1358</v>
      </c>
      <c r="BZ12" s="177">
        <v>4044</v>
      </c>
      <c r="CA12" s="177">
        <v>1608</v>
      </c>
      <c r="CB12" s="177">
        <v>2770</v>
      </c>
      <c r="CC12" s="177">
        <v>2500</v>
      </c>
      <c r="CD12" s="177">
        <v>2534</v>
      </c>
      <c r="CE12" s="177">
        <v>3008</v>
      </c>
      <c r="CF12" s="177">
        <v>3893</v>
      </c>
      <c r="CG12" s="165">
        <v>11864</v>
      </c>
      <c r="CH12" s="165">
        <v>8938</v>
      </c>
      <c r="CI12" s="164">
        <v>34</v>
      </c>
      <c r="CJ12" s="164">
        <v>0</v>
      </c>
      <c r="CK12" s="164">
        <v>0</v>
      </c>
      <c r="CL12" s="164">
        <v>274</v>
      </c>
      <c r="CM12" s="164">
        <v>605</v>
      </c>
      <c r="CN12" s="172">
        <v>8212</v>
      </c>
      <c r="CO12" s="173">
        <v>72508</v>
      </c>
      <c r="CP12" s="173">
        <v>54752</v>
      </c>
      <c r="CQ12" s="174">
        <v>29357</v>
      </c>
      <c r="CR12" s="174">
        <v>57083</v>
      </c>
      <c r="CS12" s="174">
        <v>58690</v>
      </c>
      <c r="CT12" s="174">
        <v>71274</v>
      </c>
      <c r="CU12" s="178" t="s">
        <v>215</v>
      </c>
      <c r="CV12" s="178" t="s">
        <v>215</v>
      </c>
      <c r="CW12" s="178" t="s">
        <v>215</v>
      </c>
      <c r="CX12" s="175">
        <v>0.21049999999999999</v>
      </c>
      <c r="CY12" s="175">
        <v>0.2407</v>
      </c>
      <c r="CZ12" s="175">
        <v>0.31619999999999998</v>
      </c>
      <c r="DA12" s="175">
        <v>0.2019</v>
      </c>
      <c r="DB12" s="175">
        <v>3.0599999999999999E-2</v>
      </c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</row>
    <row r="13" spans="1:222" s="176" customFormat="1" ht="16" x14ac:dyDescent="0.2">
      <c r="A13" s="160" t="s">
        <v>335</v>
      </c>
      <c r="B13" s="161">
        <v>206153</v>
      </c>
      <c r="C13" s="165">
        <v>1223878</v>
      </c>
      <c r="D13" s="163">
        <v>636</v>
      </c>
      <c r="E13" s="164">
        <v>1.9</v>
      </c>
      <c r="F13" s="161">
        <v>99791</v>
      </c>
      <c r="G13" s="165">
        <v>593236</v>
      </c>
      <c r="H13" s="161">
        <v>106362</v>
      </c>
      <c r="I13" s="165">
        <v>630642</v>
      </c>
      <c r="J13" s="166">
        <v>0.48409999999999997</v>
      </c>
      <c r="K13" s="166">
        <v>0.51590000000000003</v>
      </c>
      <c r="L13" s="164">
        <v>34.799999999999997</v>
      </c>
      <c r="M13" s="161">
        <v>194852</v>
      </c>
      <c r="N13" s="161">
        <v>35690</v>
      </c>
      <c r="O13" s="166">
        <v>0.1832</v>
      </c>
      <c r="P13" s="161">
        <v>6738</v>
      </c>
      <c r="Q13" s="165">
        <v>1681</v>
      </c>
      <c r="R13" s="165">
        <v>1146</v>
      </c>
      <c r="S13" s="163">
        <v>188</v>
      </c>
      <c r="T13" s="165">
        <v>22.3</v>
      </c>
      <c r="U13" s="163">
        <v>27.9</v>
      </c>
      <c r="V13" s="164">
        <v>15.2</v>
      </c>
      <c r="W13" s="161">
        <v>159044</v>
      </c>
      <c r="X13" s="161">
        <v>31173</v>
      </c>
      <c r="Y13" s="166">
        <v>0.19600000000000001</v>
      </c>
      <c r="Z13" s="161">
        <v>24865</v>
      </c>
      <c r="AA13" s="166">
        <v>0.15629999999999999</v>
      </c>
      <c r="AB13" s="161">
        <v>206640</v>
      </c>
      <c r="AC13" s="161">
        <v>2361</v>
      </c>
      <c r="AD13" s="168">
        <v>1142.57</v>
      </c>
      <c r="AE13" s="161">
        <v>205673</v>
      </c>
      <c r="AF13" s="161">
        <v>1099</v>
      </c>
      <c r="AG13" s="163">
        <v>534.29999999999995</v>
      </c>
      <c r="AH13" s="161">
        <v>173064</v>
      </c>
      <c r="AI13" s="165">
        <v>22104</v>
      </c>
      <c r="AJ13" s="167">
        <v>1806.1</v>
      </c>
      <c r="AK13" s="163">
        <v>70</v>
      </c>
      <c r="AL13" s="163">
        <v>40.4</v>
      </c>
      <c r="AM13" s="165">
        <v>2871</v>
      </c>
      <c r="AN13" s="164">
        <v>29</v>
      </c>
      <c r="AO13" s="164">
        <v>10.199999999999999</v>
      </c>
      <c r="AP13" s="164">
        <v>164</v>
      </c>
      <c r="AQ13" s="164">
        <v>10.1</v>
      </c>
      <c r="AR13" s="161">
        <v>152129</v>
      </c>
      <c r="AS13" s="161">
        <v>57809</v>
      </c>
      <c r="AT13" s="166">
        <v>0.38100000000000001</v>
      </c>
      <c r="AU13" s="161">
        <v>202518</v>
      </c>
      <c r="AV13" s="163">
        <v>74.180000000000007</v>
      </c>
      <c r="AW13" s="165">
        <v>203693</v>
      </c>
      <c r="AX13" s="164">
        <v>976</v>
      </c>
      <c r="AY13" s="164">
        <v>95.8</v>
      </c>
      <c r="AZ13" s="165">
        <v>159044</v>
      </c>
      <c r="BA13" s="164">
        <v>5.6</v>
      </c>
      <c r="BB13" s="161">
        <v>206640</v>
      </c>
      <c r="BC13" s="163">
        <v>719</v>
      </c>
      <c r="BD13" s="163">
        <v>287.39999999999998</v>
      </c>
      <c r="BE13" s="163">
        <v>347.9</v>
      </c>
      <c r="BF13" s="161">
        <v>11592</v>
      </c>
      <c r="BG13" s="161">
        <v>1226</v>
      </c>
      <c r="BH13" s="166">
        <v>0.10580000000000001</v>
      </c>
      <c r="BI13" s="165">
        <v>122131</v>
      </c>
      <c r="BJ13" s="164">
        <v>165</v>
      </c>
      <c r="BK13" s="164">
        <v>135.1</v>
      </c>
      <c r="BL13" s="161">
        <v>95652</v>
      </c>
      <c r="BM13" s="163">
        <v>11</v>
      </c>
      <c r="BN13" s="163">
        <v>11.5</v>
      </c>
      <c r="BO13" s="165">
        <v>216666</v>
      </c>
      <c r="BP13" s="164">
        <v>78</v>
      </c>
      <c r="BQ13" s="164">
        <v>36</v>
      </c>
      <c r="BR13" s="161">
        <v>228985</v>
      </c>
      <c r="BS13" s="163">
        <v>158</v>
      </c>
      <c r="BT13" s="163">
        <v>69</v>
      </c>
      <c r="BU13" s="165">
        <v>107355</v>
      </c>
      <c r="BV13" s="164">
        <v>162</v>
      </c>
      <c r="BW13" s="164">
        <v>150.9</v>
      </c>
      <c r="BX13" s="169"/>
      <c r="BY13" s="177">
        <v>13503</v>
      </c>
      <c r="BZ13" s="177">
        <v>33728</v>
      </c>
      <c r="CA13" s="177">
        <v>23345</v>
      </c>
      <c r="CB13" s="177">
        <v>32995</v>
      </c>
      <c r="CC13" s="177">
        <v>24866</v>
      </c>
      <c r="CD13" s="177">
        <v>22088</v>
      </c>
      <c r="CE13" s="177">
        <v>25637</v>
      </c>
      <c r="CF13" s="177">
        <v>29991</v>
      </c>
      <c r="CG13" s="165">
        <v>71015</v>
      </c>
      <c r="CH13" s="165">
        <v>115235</v>
      </c>
      <c r="CI13" s="165">
        <v>3659</v>
      </c>
      <c r="CJ13" s="164">
        <v>252</v>
      </c>
      <c r="CK13" s="164">
        <v>148</v>
      </c>
      <c r="CL13" s="165">
        <v>3907</v>
      </c>
      <c r="CM13" s="165">
        <v>11937</v>
      </c>
      <c r="CN13" s="172">
        <v>74028</v>
      </c>
      <c r="CO13" s="173">
        <v>70310</v>
      </c>
      <c r="CP13" s="173">
        <v>50605</v>
      </c>
      <c r="CQ13" s="174">
        <v>31083</v>
      </c>
      <c r="CR13" s="174">
        <v>60608</v>
      </c>
      <c r="CS13" s="174">
        <v>65208</v>
      </c>
      <c r="CT13" s="174">
        <v>74934</v>
      </c>
      <c r="CU13" s="174">
        <v>63995</v>
      </c>
      <c r="CV13" s="174">
        <v>82438</v>
      </c>
      <c r="CW13" s="174">
        <v>68942</v>
      </c>
      <c r="CX13" s="175">
        <v>0.25619999999999998</v>
      </c>
      <c r="CY13" s="175">
        <v>0.2397</v>
      </c>
      <c r="CZ13" s="175">
        <v>0.30049999999999999</v>
      </c>
      <c r="DA13" s="175">
        <v>0.1585</v>
      </c>
      <c r="DB13" s="175">
        <v>4.5199999999999997E-2</v>
      </c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</row>
    <row r="14" spans="1:222" ht="16" x14ac:dyDescent="0.2">
      <c r="A14" s="20" t="s">
        <v>336</v>
      </c>
      <c r="B14" s="21">
        <v>14026</v>
      </c>
      <c r="C14" s="68">
        <v>84172</v>
      </c>
      <c r="D14" s="22">
        <v>22</v>
      </c>
      <c r="E14" s="182">
        <v>0.1</v>
      </c>
      <c r="F14" s="21">
        <v>6742</v>
      </c>
      <c r="G14" s="68">
        <v>41512</v>
      </c>
      <c r="H14" s="21">
        <v>7284</v>
      </c>
      <c r="I14" s="68">
        <v>42660</v>
      </c>
      <c r="J14" s="23">
        <v>0.48070000000000002</v>
      </c>
      <c r="K14" s="23">
        <v>0.51929999999999998</v>
      </c>
      <c r="L14" s="182">
        <v>41.9</v>
      </c>
      <c r="M14" s="21">
        <v>13674</v>
      </c>
      <c r="N14" s="21">
        <v>2109</v>
      </c>
      <c r="O14" s="23">
        <v>0.1542</v>
      </c>
      <c r="P14" s="22">
        <v>393</v>
      </c>
      <c r="Q14" s="182">
        <v>107</v>
      </c>
      <c r="R14" s="182">
        <v>85</v>
      </c>
      <c r="S14" s="22">
        <v>0</v>
      </c>
      <c r="T14" s="182">
        <v>25.3</v>
      </c>
      <c r="U14" s="22">
        <v>0</v>
      </c>
      <c r="V14" s="182">
        <v>20.100000000000001</v>
      </c>
      <c r="W14" s="21">
        <v>11274</v>
      </c>
      <c r="X14" s="21">
        <v>2244</v>
      </c>
      <c r="Y14" s="23">
        <v>0.19900000000000001</v>
      </c>
      <c r="Z14" s="21">
        <v>1637</v>
      </c>
      <c r="AA14" s="23">
        <v>0.1452</v>
      </c>
      <c r="AB14" s="21">
        <v>13977</v>
      </c>
      <c r="AC14" s="22">
        <v>98</v>
      </c>
      <c r="AD14" s="22">
        <v>701.15</v>
      </c>
      <c r="AE14" s="21">
        <v>14105</v>
      </c>
      <c r="AF14" s="22">
        <v>39</v>
      </c>
      <c r="AG14" s="22">
        <v>276.5</v>
      </c>
      <c r="AH14" s="21">
        <v>11972</v>
      </c>
      <c r="AI14" s="182">
        <v>740</v>
      </c>
      <c r="AJ14" s="182">
        <v>879.2</v>
      </c>
      <c r="AK14" s="22" t="s">
        <v>213</v>
      </c>
      <c r="AL14" s="22" t="s">
        <v>302</v>
      </c>
      <c r="AM14" s="182">
        <v>167</v>
      </c>
      <c r="AN14" s="182" t="s">
        <v>215</v>
      </c>
      <c r="AO14" s="182" t="s">
        <v>215</v>
      </c>
      <c r="AP14" s="182">
        <v>9</v>
      </c>
      <c r="AQ14" s="182">
        <v>8.9</v>
      </c>
      <c r="AR14" s="21">
        <v>10899</v>
      </c>
      <c r="AS14" s="21">
        <v>2703</v>
      </c>
      <c r="AT14" s="23">
        <v>0.248</v>
      </c>
      <c r="AU14" s="21">
        <v>13966</v>
      </c>
      <c r="AV14" s="22">
        <v>74.94</v>
      </c>
      <c r="AW14" s="68">
        <v>14000</v>
      </c>
      <c r="AX14" s="182">
        <v>85</v>
      </c>
      <c r="AY14" s="182">
        <v>121.4</v>
      </c>
      <c r="AZ14" s="68">
        <v>11274</v>
      </c>
      <c r="BA14" s="182">
        <v>5.4</v>
      </c>
      <c r="BB14" s="21">
        <v>13977</v>
      </c>
      <c r="BC14" s="22">
        <v>5</v>
      </c>
      <c r="BD14" s="26">
        <v>2795.4</v>
      </c>
      <c r="BE14" s="22">
        <v>35.799999999999997</v>
      </c>
      <c r="BF14" s="22">
        <v>525</v>
      </c>
      <c r="BG14" s="22">
        <v>127</v>
      </c>
      <c r="BH14" s="23">
        <v>0.2419</v>
      </c>
      <c r="BI14" s="68">
        <v>10560</v>
      </c>
      <c r="BJ14" s="182">
        <v>13</v>
      </c>
      <c r="BK14" s="182">
        <v>123.1</v>
      </c>
      <c r="BL14" s="22" t="s">
        <v>215</v>
      </c>
      <c r="BM14" s="22" t="s">
        <v>214</v>
      </c>
      <c r="BN14" s="22" t="s">
        <v>214</v>
      </c>
      <c r="BO14" s="68">
        <v>21231</v>
      </c>
      <c r="BP14" s="182">
        <v>10</v>
      </c>
      <c r="BQ14" s="182">
        <v>47.1</v>
      </c>
      <c r="BR14" s="21">
        <v>21604</v>
      </c>
      <c r="BS14" s="22">
        <v>14</v>
      </c>
      <c r="BT14" s="22">
        <v>64.8</v>
      </c>
      <c r="BU14" s="68">
        <v>10840</v>
      </c>
      <c r="BV14" s="182">
        <v>12</v>
      </c>
      <c r="BW14" s="182">
        <v>110.7</v>
      </c>
      <c r="BX14" s="24"/>
      <c r="BY14" s="24">
        <v>763</v>
      </c>
      <c r="BZ14" s="25">
        <v>2123</v>
      </c>
      <c r="CA14" s="24">
        <v>890</v>
      </c>
      <c r="CB14" s="25">
        <v>1766</v>
      </c>
      <c r="CC14" s="25">
        <v>1845</v>
      </c>
      <c r="CD14" s="25">
        <v>1687</v>
      </c>
      <c r="CE14" s="25">
        <v>2168</v>
      </c>
      <c r="CF14" s="25">
        <v>2784</v>
      </c>
      <c r="CG14" s="68">
        <v>7938</v>
      </c>
      <c r="CH14" s="68">
        <v>5629</v>
      </c>
      <c r="CI14" s="182">
        <v>56</v>
      </c>
      <c r="CJ14" s="182">
        <v>12</v>
      </c>
      <c r="CK14" s="182">
        <v>0</v>
      </c>
      <c r="CL14" s="182">
        <v>39</v>
      </c>
      <c r="CM14" s="182">
        <v>352</v>
      </c>
      <c r="CN14" s="39">
        <v>4727</v>
      </c>
      <c r="CO14" s="40">
        <v>73243</v>
      </c>
      <c r="CP14" s="40">
        <v>49941</v>
      </c>
      <c r="CQ14" s="44">
        <v>23094</v>
      </c>
      <c r="CR14" s="44">
        <v>59286</v>
      </c>
      <c r="CS14" s="44">
        <v>72697</v>
      </c>
      <c r="CT14" s="44">
        <v>115568</v>
      </c>
      <c r="CU14" s="44">
        <v>39129</v>
      </c>
      <c r="CV14" s="44">
        <v>96731</v>
      </c>
      <c r="CW14" s="44">
        <v>63125</v>
      </c>
      <c r="CX14" s="45">
        <v>0.24049999999999999</v>
      </c>
      <c r="CY14" s="45">
        <v>0.25979999999999998</v>
      </c>
      <c r="CZ14" s="45">
        <v>0.26340000000000002</v>
      </c>
      <c r="DA14" s="45">
        <v>0.1963</v>
      </c>
      <c r="DB14" s="45">
        <v>0.04</v>
      </c>
    </row>
    <row r="15" spans="1:222" ht="16" x14ac:dyDescent="0.2">
      <c r="A15" s="13" t="s">
        <v>337</v>
      </c>
      <c r="B15" s="14">
        <v>1635</v>
      </c>
      <c r="C15" s="68">
        <v>9474</v>
      </c>
      <c r="D15" s="15">
        <v>8</v>
      </c>
      <c r="E15" s="182">
        <v>0</v>
      </c>
      <c r="F15" s="15">
        <v>734</v>
      </c>
      <c r="G15" s="68">
        <v>4746</v>
      </c>
      <c r="H15" s="15">
        <v>901</v>
      </c>
      <c r="I15" s="68">
        <v>4728</v>
      </c>
      <c r="J15" s="16">
        <v>0.44890000000000002</v>
      </c>
      <c r="K15" s="16">
        <v>0.55110000000000003</v>
      </c>
      <c r="L15" s="69">
        <v>47.2</v>
      </c>
      <c r="M15" s="14">
        <v>1630</v>
      </c>
      <c r="N15" s="15">
        <v>369</v>
      </c>
      <c r="O15" s="16">
        <v>0.22639999999999999</v>
      </c>
      <c r="P15" s="15">
        <v>7</v>
      </c>
      <c r="Q15" s="182">
        <v>5</v>
      </c>
      <c r="R15" s="182">
        <v>4</v>
      </c>
      <c r="S15" s="15">
        <v>0</v>
      </c>
      <c r="T15" s="182">
        <v>12.3</v>
      </c>
      <c r="U15" s="15">
        <v>0</v>
      </c>
      <c r="V15" s="182" t="s">
        <v>280</v>
      </c>
      <c r="W15" s="14">
        <v>1271</v>
      </c>
      <c r="X15" s="15">
        <v>282</v>
      </c>
      <c r="Y15" s="16">
        <v>0.222</v>
      </c>
      <c r="Z15" s="15">
        <v>148</v>
      </c>
      <c r="AA15" s="16">
        <v>0.1166</v>
      </c>
      <c r="AB15" s="14">
        <v>1600</v>
      </c>
      <c r="AC15" s="15">
        <v>10</v>
      </c>
      <c r="AD15" s="15">
        <v>625</v>
      </c>
      <c r="AE15" s="14">
        <v>1558</v>
      </c>
      <c r="AF15" s="15">
        <v>3</v>
      </c>
      <c r="AG15" s="15">
        <v>192.6</v>
      </c>
      <c r="AH15" s="14">
        <v>1392</v>
      </c>
      <c r="AI15" s="182">
        <v>69</v>
      </c>
      <c r="AJ15" s="70">
        <v>728.3</v>
      </c>
      <c r="AK15" s="15">
        <v>0</v>
      </c>
      <c r="AL15" s="15">
        <v>0</v>
      </c>
      <c r="AM15" s="69">
        <v>14</v>
      </c>
      <c r="AN15" s="69" t="s">
        <v>215</v>
      </c>
      <c r="AO15" s="69" t="s">
        <v>215</v>
      </c>
      <c r="AP15" s="182">
        <v>0</v>
      </c>
      <c r="AQ15" s="182">
        <v>0</v>
      </c>
      <c r="AR15" s="14">
        <v>1280</v>
      </c>
      <c r="AS15" s="15">
        <v>215</v>
      </c>
      <c r="AT15" s="16">
        <v>0.17</v>
      </c>
      <c r="AU15" s="14">
        <v>1537</v>
      </c>
      <c r="AV15" s="15">
        <v>74.8</v>
      </c>
      <c r="AW15" s="71">
        <v>1573</v>
      </c>
      <c r="AX15" s="69" t="s">
        <v>215</v>
      </c>
      <c r="AY15" s="69" t="s">
        <v>215</v>
      </c>
      <c r="AZ15" s="71">
        <v>1271</v>
      </c>
      <c r="BA15" s="69">
        <v>5.5</v>
      </c>
      <c r="BB15" s="15">
        <v>0</v>
      </c>
      <c r="BC15" s="15">
        <v>0</v>
      </c>
      <c r="BD15" s="15" t="s">
        <v>215</v>
      </c>
      <c r="BE15" s="15" t="s">
        <v>215</v>
      </c>
      <c r="BF15" s="15">
        <v>24</v>
      </c>
      <c r="BG15" s="15">
        <v>0</v>
      </c>
      <c r="BH15" s="16">
        <v>0</v>
      </c>
      <c r="BI15" s="182" t="s">
        <v>215</v>
      </c>
      <c r="BJ15" s="182" t="s">
        <v>214</v>
      </c>
      <c r="BK15" s="182" t="s">
        <v>214</v>
      </c>
      <c r="BL15" s="15" t="s">
        <v>215</v>
      </c>
      <c r="BM15" s="15" t="s">
        <v>214</v>
      </c>
      <c r="BN15" s="15" t="s">
        <v>214</v>
      </c>
      <c r="BO15" s="182" t="s">
        <v>215</v>
      </c>
      <c r="BP15" s="182" t="s">
        <v>214</v>
      </c>
      <c r="BQ15" s="182" t="s">
        <v>214</v>
      </c>
      <c r="BR15" s="15" t="s">
        <v>215</v>
      </c>
      <c r="BS15" s="15" t="s">
        <v>214</v>
      </c>
      <c r="BT15" s="15" t="s">
        <v>214</v>
      </c>
      <c r="BU15" s="182" t="s">
        <v>215</v>
      </c>
      <c r="BV15" s="182" t="s">
        <v>214</v>
      </c>
      <c r="BW15" s="182" t="s">
        <v>214</v>
      </c>
      <c r="BX15" s="18"/>
      <c r="BY15" s="18">
        <v>67</v>
      </c>
      <c r="BZ15" s="18">
        <v>172</v>
      </c>
      <c r="CA15" s="18">
        <v>96</v>
      </c>
      <c r="CB15" s="18">
        <v>243</v>
      </c>
      <c r="CC15" s="18">
        <v>206</v>
      </c>
      <c r="CD15" s="18">
        <v>208</v>
      </c>
      <c r="CE15" s="18">
        <v>186</v>
      </c>
      <c r="CF15" s="18">
        <v>457</v>
      </c>
      <c r="CG15" s="182">
        <v>599</v>
      </c>
      <c r="CH15" s="182">
        <v>822</v>
      </c>
      <c r="CI15" s="182">
        <v>1</v>
      </c>
      <c r="CJ15" s="182">
        <v>0</v>
      </c>
      <c r="CK15" s="182">
        <v>4</v>
      </c>
      <c r="CL15" s="182">
        <v>117</v>
      </c>
      <c r="CM15" s="182">
        <v>92</v>
      </c>
      <c r="CN15" s="36">
        <v>643</v>
      </c>
      <c r="CO15" s="38">
        <v>54144</v>
      </c>
      <c r="CP15" s="38">
        <v>45881</v>
      </c>
      <c r="CQ15" s="42">
        <v>41053</v>
      </c>
      <c r="CR15" s="42">
        <v>32639</v>
      </c>
      <c r="CS15" s="42">
        <v>68750</v>
      </c>
      <c r="CT15" s="42">
        <v>64224</v>
      </c>
      <c r="CU15" s="41" t="s">
        <v>215</v>
      </c>
      <c r="CV15" s="41" t="s">
        <v>215</v>
      </c>
      <c r="CW15" s="41" t="s">
        <v>215</v>
      </c>
      <c r="CX15" s="46">
        <v>0.1928</v>
      </c>
      <c r="CY15" s="46">
        <v>0.3795</v>
      </c>
      <c r="CZ15" s="46">
        <v>0.31730000000000003</v>
      </c>
      <c r="DA15" s="46">
        <v>9.9500000000000005E-2</v>
      </c>
      <c r="DB15" s="46">
        <v>1.09E-2</v>
      </c>
    </row>
    <row r="16" spans="1:222" ht="16" x14ac:dyDescent="0.2">
      <c r="A16" s="20" t="s">
        <v>287</v>
      </c>
      <c r="B16" s="21">
        <v>5197</v>
      </c>
      <c r="C16" s="68">
        <v>31238</v>
      </c>
      <c r="D16" s="22">
        <v>18</v>
      </c>
      <c r="E16" s="182">
        <v>0</v>
      </c>
      <c r="F16" s="21">
        <v>2405</v>
      </c>
      <c r="G16" s="68">
        <v>14789</v>
      </c>
      <c r="H16" s="21">
        <v>2792</v>
      </c>
      <c r="I16" s="68">
        <v>16449</v>
      </c>
      <c r="J16" s="23">
        <v>0.46279999999999999</v>
      </c>
      <c r="K16" s="23">
        <v>0.53720000000000001</v>
      </c>
      <c r="L16" s="182">
        <v>45.3</v>
      </c>
      <c r="M16" s="21">
        <v>5122</v>
      </c>
      <c r="N16" s="22">
        <v>932</v>
      </c>
      <c r="O16" s="23">
        <v>0.182</v>
      </c>
      <c r="P16" s="22">
        <v>178</v>
      </c>
      <c r="Q16" s="182">
        <v>40</v>
      </c>
      <c r="R16" s="182">
        <v>28</v>
      </c>
      <c r="S16" s="22">
        <v>0</v>
      </c>
      <c r="T16" s="182">
        <v>21.8</v>
      </c>
      <c r="U16" s="22">
        <v>0</v>
      </c>
      <c r="V16" s="182">
        <v>15.3</v>
      </c>
      <c r="W16" s="21">
        <v>4180</v>
      </c>
      <c r="X16" s="22">
        <v>995</v>
      </c>
      <c r="Y16" s="23">
        <v>0.23799999999999999</v>
      </c>
      <c r="Z16" s="22">
        <v>508</v>
      </c>
      <c r="AA16" s="23">
        <v>0.1216</v>
      </c>
      <c r="AB16" s="21">
        <v>5155</v>
      </c>
      <c r="AC16" s="22">
        <v>50</v>
      </c>
      <c r="AD16" s="22">
        <v>969.93</v>
      </c>
      <c r="AE16" s="21">
        <v>5240</v>
      </c>
      <c r="AF16" s="22">
        <v>20</v>
      </c>
      <c r="AG16" s="22">
        <v>381.7</v>
      </c>
      <c r="AH16" s="21">
        <v>4422</v>
      </c>
      <c r="AI16" s="182">
        <v>347</v>
      </c>
      <c r="AJ16" s="70">
        <v>1110.8</v>
      </c>
      <c r="AK16" s="22">
        <v>0</v>
      </c>
      <c r="AL16" s="22">
        <v>0</v>
      </c>
      <c r="AM16" s="182">
        <v>55</v>
      </c>
      <c r="AN16" s="182" t="s">
        <v>215</v>
      </c>
      <c r="AO16" s="182" t="s">
        <v>215</v>
      </c>
      <c r="AP16" s="182">
        <v>3</v>
      </c>
      <c r="AQ16" s="2" t="s">
        <v>308</v>
      </c>
      <c r="AR16" s="21">
        <v>4054</v>
      </c>
      <c r="AS16" s="22">
        <v>827</v>
      </c>
      <c r="AT16" s="23">
        <v>0.20499999999999999</v>
      </c>
      <c r="AU16" s="21">
        <v>5254</v>
      </c>
      <c r="AV16" s="22">
        <v>74.83</v>
      </c>
      <c r="AW16" s="68">
        <v>5226</v>
      </c>
      <c r="AX16" s="182">
        <v>45</v>
      </c>
      <c r="AY16" s="182">
        <v>172.2</v>
      </c>
      <c r="AZ16" s="68">
        <v>4180</v>
      </c>
      <c r="BA16" s="182">
        <v>5.8</v>
      </c>
      <c r="BB16" s="21">
        <v>5155</v>
      </c>
      <c r="BC16" s="22">
        <v>2</v>
      </c>
      <c r="BD16" s="26">
        <v>2577.5</v>
      </c>
      <c r="BE16" s="22">
        <v>38.799999999999997</v>
      </c>
      <c r="BF16" s="22">
        <v>211</v>
      </c>
      <c r="BG16" s="22">
        <v>7</v>
      </c>
      <c r="BH16" s="23">
        <v>3.32E-2</v>
      </c>
      <c r="BI16" s="68">
        <v>4345</v>
      </c>
      <c r="BJ16" s="182">
        <v>8</v>
      </c>
      <c r="BK16" s="182">
        <v>184.1</v>
      </c>
      <c r="BL16" s="22" t="s">
        <v>215</v>
      </c>
      <c r="BM16" s="22" t="s">
        <v>214</v>
      </c>
      <c r="BN16" s="22" t="s">
        <v>214</v>
      </c>
      <c r="BO16" s="68">
        <v>7278</v>
      </c>
      <c r="BP16" s="182">
        <v>5</v>
      </c>
      <c r="BQ16" s="182">
        <v>68.7</v>
      </c>
      <c r="BR16" s="21">
        <v>8918</v>
      </c>
      <c r="BS16" s="22">
        <v>8</v>
      </c>
      <c r="BT16" s="22">
        <v>89.7</v>
      </c>
      <c r="BU16" s="68">
        <v>3906</v>
      </c>
      <c r="BV16" s="182">
        <v>4</v>
      </c>
      <c r="BW16" s="182">
        <v>102.4</v>
      </c>
      <c r="BX16" s="24"/>
      <c r="BY16" s="24">
        <v>277</v>
      </c>
      <c r="BZ16" s="24">
        <v>780</v>
      </c>
      <c r="CA16" s="24">
        <v>448</v>
      </c>
      <c r="CB16" s="24">
        <v>502</v>
      </c>
      <c r="CC16" s="24">
        <v>579</v>
      </c>
      <c r="CD16" s="24">
        <v>619</v>
      </c>
      <c r="CE16" s="24">
        <v>814</v>
      </c>
      <c r="CF16" s="25">
        <v>1178</v>
      </c>
      <c r="CG16" s="68">
        <v>1995</v>
      </c>
      <c r="CH16" s="68">
        <v>3104</v>
      </c>
      <c r="CI16" s="182">
        <v>24</v>
      </c>
      <c r="CJ16" s="182">
        <v>0</v>
      </c>
      <c r="CK16" s="182">
        <v>0</v>
      </c>
      <c r="CL16" s="182">
        <v>0</v>
      </c>
      <c r="CM16" s="182">
        <v>74</v>
      </c>
      <c r="CN16" s="39">
        <v>1945</v>
      </c>
      <c r="CO16" s="40">
        <v>57899</v>
      </c>
      <c r="CP16" s="40">
        <v>45091</v>
      </c>
      <c r="CQ16" s="44">
        <v>32630</v>
      </c>
      <c r="CR16" s="44">
        <v>41948</v>
      </c>
      <c r="CS16" s="44">
        <v>53264</v>
      </c>
      <c r="CT16" s="44">
        <v>84821</v>
      </c>
      <c r="CU16" s="44">
        <v>63958</v>
      </c>
      <c r="CV16" s="43" t="s">
        <v>215</v>
      </c>
      <c r="CW16" s="44">
        <v>29000</v>
      </c>
      <c r="CX16" s="45">
        <v>0.24629999999999999</v>
      </c>
      <c r="CY16" s="45">
        <v>0.32850000000000001</v>
      </c>
      <c r="CZ16" s="45">
        <v>0.27460000000000001</v>
      </c>
      <c r="DA16" s="45">
        <v>0.12959999999999999</v>
      </c>
      <c r="DB16" s="45">
        <v>2.1100000000000001E-2</v>
      </c>
    </row>
    <row r="17" spans="1:308" s="176" customFormat="1" ht="16" x14ac:dyDescent="0.2">
      <c r="A17" s="160" t="s">
        <v>157</v>
      </c>
      <c r="B17" s="161">
        <v>9610</v>
      </c>
      <c r="C17" s="165">
        <v>57977</v>
      </c>
      <c r="D17" s="163">
        <v>20</v>
      </c>
      <c r="E17" s="164">
        <v>0.1</v>
      </c>
      <c r="F17" s="161">
        <v>4947</v>
      </c>
      <c r="G17" s="165">
        <v>27889</v>
      </c>
      <c r="H17" s="161">
        <v>4663</v>
      </c>
      <c r="I17" s="165">
        <v>30088</v>
      </c>
      <c r="J17" s="166">
        <v>0.51480000000000004</v>
      </c>
      <c r="K17" s="166">
        <v>0.48520000000000002</v>
      </c>
      <c r="L17" s="164">
        <v>45.5</v>
      </c>
      <c r="M17" s="161">
        <v>9510</v>
      </c>
      <c r="N17" s="161">
        <v>1465</v>
      </c>
      <c r="O17" s="166">
        <v>0.154</v>
      </c>
      <c r="P17" s="163">
        <v>147</v>
      </c>
      <c r="Q17" s="164">
        <v>63</v>
      </c>
      <c r="R17" s="164">
        <v>44</v>
      </c>
      <c r="S17" s="163">
        <v>0</v>
      </c>
      <c r="T17" s="164">
        <v>18.100000000000001</v>
      </c>
      <c r="U17" s="163">
        <v>0</v>
      </c>
      <c r="V17" s="164">
        <v>12.6</v>
      </c>
      <c r="W17" s="161">
        <v>7547</v>
      </c>
      <c r="X17" s="161">
        <v>1638</v>
      </c>
      <c r="Y17" s="166">
        <v>0.217</v>
      </c>
      <c r="Z17" s="163">
        <v>980</v>
      </c>
      <c r="AA17" s="166">
        <v>0.12989999999999999</v>
      </c>
      <c r="AB17" s="161">
        <v>9599</v>
      </c>
      <c r="AC17" s="163">
        <v>69</v>
      </c>
      <c r="AD17" s="163">
        <v>718.82</v>
      </c>
      <c r="AE17" s="161">
        <v>9513</v>
      </c>
      <c r="AF17" s="163">
        <v>45</v>
      </c>
      <c r="AG17" s="163">
        <v>473</v>
      </c>
      <c r="AH17" s="161">
        <v>8225</v>
      </c>
      <c r="AI17" s="164">
        <v>530</v>
      </c>
      <c r="AJ17" s="164">
        <v>914.2</v>
      </c>
      <c r="AK17" s="163" t="s">
        <v>213</v>
      </c>
      <c r="AL17" s="163" t="s">
        <v>302</v>
      </c>
      <c r="AM17" s="164">
        <v>94</v>
      </c>
      <c r="AN17" s="164" t="s">
        <v>215</v>
      </c>
      <c r="AO17" s="164" t="s">
        <v>215</v>
      </c>
      <c r="AP17" s="164">
        <v>3</v>
      </c>
      <c r="AQ17" s="179" t="s">
        <v>308</v>
      </c>
      <c r="AR17" s="161">
        <v>7342</v>
      </c>
      <c r="AS17" s="161">
        <v>1417</v>
      </c>
      <c r="AT17" s="166">
        <v>0.193</v>
      </c>
      <c r="AU17" s="161">
        <v>9777</v>
      </c>
      <c r="AV17" s="163">
        <v>74.86</v>
      </c>
      <c r="AW17" s="165">
        <v>9692</v>
      </c>
      <c r="AX17" s="164">
        <v>54</v>
      </c>
      <c r="AY17" s="164">
        <v>111.4</v>
      </c>
      <c r="AZ17" s="165">
        <v>7547</v>
      </c>
      <c r="BA17" s="164">
        <v>5.6</v>
      </c>
      <c r="BB17" s="161">
        <v>9599</v>
      </c>
      <c r="BC17" s="163">
        <v>2</v>
      </c>
      <c r="BD17" s="168">
        <v>4799.5</v>
      </c>
      <c r="BE17" s="163">
        <v>20.8</v>
      </c>
      <c r="BF17" s="163">
        <v>360</v>
      </c>
      <c r="BG17" s="163">
        <v>14</v>
      </c>
      <c r="BH17" s="166">
        <v>3.8899999999999997E-2</v>
      </c>
      <c r="BI17" s="165">
        <v>8431</v>
      </c>
      <c r="BJ17" s="164">
        <v>10</v>
      </c>
      <c r="BK17" s="164">
        <v>118.6</v>
      </c>
      <c r="BL17" s="163" t="s">
        <v>215</v>
      </c>
      <c r="BM17" s="163" t="s">
        <v>214</v>
      </c>
      <c r="BN17" s="163" t="s">
        <v>214</v>
      </c>
      <c r="BO17" s="165">
        <v>17331</v>
      </c>
      <c r="BP17" s="164">
        <v>10</v>
      </c>
      <c r="BQ17" s="164">
        <v>57.7</v>
      </c>
      <c r="BR17" s="161">
        <v>16920</v>
      </c>
      <c r="BS17" s="163">
        <v>10</v>
      </c>
      <c r="BT17" s="163">
        <v>59.1</v>
      </c>
      <c r="BU17" s="165">
        <v>7751</v>
      </c>
      <c r="BV17" s="164">
        <v>8</v>
      </c>
      <c r="BW17" s="164">
        <v>103.2</v>
      </c>
      <c r="BX17" s="169"/>
      <c r="BY17" s="169">
        <v>521</v>
      </c>
      <c r="BZ17" s="177">
        <v>1462</v>
      </c>
      <c r="CA17" s="169">
        <v>612</v>
      </c>
      <c r="CB17" s="177">
        <v>1153</v>
      </c>
      <c r="CC17" s="177">
        <v>1001</v>
      </c>
      <c r="CD17" s="177">
        <v>1145</v>
      </c>
      <c r="CE17" s="177">
        <v>1470</v>
      </c>
      <c r="CF17" s="177">
        <v>2246</v>
      </c>
      <c r="CG17" s="165">
        <v>5126</v>
      </c>
      <c r="CH17" s="165">
        <v>3869</v>
      </c>
      <c r="CI17" s="164">
        <v>0</v>
      </c>
      <c r="CJ17" s="164">
        <v>16</v>
      </c>
      <c r="CK17" s="164">
        <v>0</v>
      </c>
      <c r="CL17" s="164">
        <v>276</v>
      </c>
      <c r="CM17" s="164">
        <v>323</v>
      </c>
      <c r="CN17" s="172">
        <v>4032</v>
      </c>
      <c r="CO17" s="173">
        <v>67375</v>
      </c>
      <c r="CP17" s="173">
        <v>51780</v>
      </c>
      <c r="CQ17" s="174">
        <v>24757</v>
      </c>
      <c r="CR17" s="174">
        <v>61413</v>
      </c>
      <c r="CS17" s="174">
        <v>62857</v>
      </c>
      <c r="CT17" s="174">
        <v>86289</v>
      </c>
      <c r="CU17" s="174">
        <v>80184</v>
      </c>
      <c r="CV17" s="178" t="s">
        <v>215</v>
      </c>
      <c r="CW17" s="178" t="s">
        <v>215</v>
      </c>
      <c r="CX17" s="175">
        <v>0.25819999999999999</v>
      </c>
      <c r="CY17" s="175">
        <v>0.21060000000000001</v>
      </c>
      <c r="CZ17" s="175">
        <v>0.33660000000000001</v>
      </c>
      <c r="DA17" s="175">
        <v>0.17460000000000001</v>
      </c>
      <c r="DB17" s="175">
        <v>2.01E-2</v>
      </c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</row>
    <row r="18" spans="1:308" s="118" customFormat="1" ht="16" x14ac:dyDescent="0.2">
      <c r="A18" s="107" t="s">
        <v>338</v>
      </c>
      <c r="B18" s="108">
        <v>10722325</v>
      </c>
      <c r="C18" s="109">
        <v>64588584</v>
      </c>
      <c r="D18" s="107">
        <v>186</v>
      </c>
      <c r="E18" s="110">
        <v>100</v>
      </c>
      <c r="F18" s="108">
        <v>5244476</v>
      </c>
      <c r="G18" s="109">
        <v>31452814</v>
      </c>
      <c r="H18" s="108">
        <v>5477849</v>
      </c>
      <c r="I18" s="109">
        <v>33135770</v>
      </c>
      <c r="J18" s="111">
        <v>0.48909999999999998</v>
      </c>
      <c r="K18" s="111">
        <v>0.51090000000000002</v>
      </c>
      <c r="L18" s="110">
        <v>37.200000000000003</v>
      </c>
      <c r="M18" s="108">
        <v>10531900</v>
      </c>
      <c r="N18" s="108">
        <v>1336645</v>
      </c>
      <c r="O18" s="111">
        <v>0.12690000000000001</v>
      </c>
      <c r="P18" s="108">
        <v>372109</v>
      </c>
      <c r="Q18" s="109">
        <v>56188</v>
      </c>
      <c r="R18" s="109">
        <v>39978</v>
      </c>
      <c r="S18" s="108">
        <v>4714</v>
      </c>
      <c r="T18" s="109">
        <v>12.9</v>
      </c>
      <c r="U18" s="107">
        <v>12.67</v>
      </c>
      <c r="V18" s="110">
        <v>9.1999999999999993</v>
      </c>
      <c r="W18" s="108">
        <v>8315530</v>
      </c>
      <c r="X18" s="108">
        <v>1297223</v>
      </c>
      <c r="Y18" s="111">
        <v>0.156</v>
      </c>
      <c r="Z18" s="108">
        <v>1380818</v>
      </c>
      <c r="AA18" s="111">
        <v>0.1661</v>
      </c>
      <c r="AB18" s="108">
        <v>10912876</v>
      </c>
      <c r="AC18" s="108">
        <v>72662</v>
      </c>
      <c r="AD18" s="107">
        <v>665.84</v>
      </c>
      <c r="AE18" s="108">
        <v>10912876</v>
      </c>
      <c r="AF18" s="108">
        <v>31450</v>
      </c>
      <c r="AG18" s="107">
        <v>288.2</v>
      </c>
      <c r="AH18" s="108">
        <v>9170559</v>
      </c>
      <c r="AI18" s="109">
        <v>603324</v>
      </c>
      <c r="AJ18" s="110">
        <v>934.1</v>
      </c>
      <c r="AK18" s="108">
        <v>2511</v>
      </c>
      <c r="AL18" s="107">
        <v>27.4</v>
      </c>
      <c r="AM18" s="109">
        <v>124310</v>
      </c>
      <c r="AN18" s="110">
        <v>534</v>
      </c>
      <c r="AO18" s="110">
        <v>4.3</v>
      </c>
      <c r="AP18" s="110">
        <v>5109</v>
      </c>
      <c r="AQ18" s="110">
        <v>6.8</v>
      </c>
      <c r="AR18" s="108">
        <v>7979399</v>
      </c>
      <c r="AS18" s="108">
        <v>2382343</v>
      </c>
      <c r="AT18" s="111">
        <v>0.29699999999999999</v>
      </c>
      <c r="AU18" s="108">
        <v>10617423</v>
      </c>
      <c r="AV18" s="107">
        <v>78.010000000000005</v>
      </c>
      <c r="AW18" s="109">
        <v>10711871</v>
      </c>
      <c r="AX18" s="109">
        <v>40886</v>
      </c>
      <c r="AY18" s="110">
        <v>76.3</v>
      </c>
      <c r="AZ18" s="109">
        <v>16631473</v>
      </c>
      <c r="BA18" s="110">
        <v>4.9000000000000004</v>
      </c>
      <c r="BB18" s="108">
        <v>10912880</v>
      </c>
      <c r="BC18" s="108">
        <v>19531</v>
      </c>
      <c r="BD18" s="107">
        <v>558.70000000000005</v>
      </c>
      <c r="BE18" s="107">
        <v>179</v>
      </c>
      <c r="BF18" s="108">
        <v>602479</v>
      </c>
      <c r="BG18" s="108">
        <v>47447</v>
      </c>
      <c r="BH18" s="111">
        <v>7.8799999999999995E-2</v>
      </c>
      <c r="BI18" s="109">
        <v>6241486</v>
      </c>
      <c r="BJ18" s="109">
        <v>8064</v>
      </c>
      <c r="BK18" s="110">
        <v>129.19999999999999</v>
      </c>
      <c r="BL18" s="108">
        <v>5487500</v>
      </c>
      <c r="BM18" s="107">
        <v>439</v>
      </c>
      <c r="BN18" s="107">
        <v>8</v>
      </c>
      <c r="BO18" s="109">
        <v>11567430</v>
      </c>
      <c r="BP18" s="109">
        <v>4546</v>
      </c>
      <c r="BQ18" s="110">
        <v>39.299999999999997</v>
      </c>
      <c r="BR18" s="108">
        <v>11891191</v>
      </c>
      <c r="BS18" s="108">
        <v>6885</v>
      </c>
      <c r="BT18" s="107">
        <v>57.9</v>
      </c>
      <c r="BU18" s="109">
        <v>5724573</v>
      </c>
      <c r="BV18" s="109">
        <v>7711</v>
      </c>
      <c r="BW18" s="110">
        <v>134.69999999999999</v>
      </c>
      <c r="BX18" s="112"/>
      <c r="BY18" s="113">
        <v>635299</v>
      </c>
      <c r="BZ18" s="113">
        <v>1877246</v>
      </c>
      <c r="CA18" s="113">
        <v>1051160</v>
      </c>
      <c r="CB18" s="113">
        <v>1475136</v>
      </c>
      <c r="CC18" s="113">
        <v>1420198</v>
      </c>
      <c r="CD18" s="113">
        <v>1401400</v>
      </c>
      <c r="CE18" s="113">
        <v>1321441</v>
      </c>
      <c r="CF18" s="113">
        <v>1540445</v>
      </c>
      <c r="CG18" s="109">
        <v>5820019</v>
      </c>
      <c r="CH18" s="109">
        <v>3373948</v>
      </c>
      <c r="CI18" s="109">
        <v>465487</v>
      </c>
      <c r="CJ18" s="109">
        <v>37920</v>
      </c>
      <c r="CK18" s="109">
        <v>7411</v>
      </c>
      <c r="CL18" s="109">
        <v>378659</v>
      </c>
      <c r="CM18" s="109">
        <v>638881</v>
      </c>
      <c r="CN18" s="114">
        <v>3946490</v>
      </c>
      <c r="CO18" s="115">
        <v>99345</v>
      </c>
      <c r="CP18" s="115">
        <v>71355</v>
      </c>
      <c r="CQ18" s="116">
        <v>38351</v>
      </c>
      <c r="CR18" s="116">
        <v>78456</v>
      </c>
      <c r="CS18" s="116">
        <v>89398</v>
      </c>
      <c r="CT18" s="116">
        <v>105220</v>
      </c>
      <c r="CU18" s="116">
        <v>95131</v>
      </c>
      <c r="CV18" s="116">
        <v>93261</v>
      </c>
      <c r="CW18" s="116">
        <v>105104</v>
      </c>
      <c r="CX18" s="117">
        <v>0.22989999999999999</v>
      </c>
      <c r="CY18" s="117">
        <v>0.22509999999999999</v>
      </c>
      <c r="CZ18" s="117">
        <v>0.29930000000000001</v>
      </c>
      <c r="DA18" s="117">
        <v>0.19769999999999999</v>
      </c>
      <c r="DB18" s="117">
        <v>4.8000000000000001E-2</v>
      </c>
      <c r="DC18" s="187"/>
      <c r="DD18" s="187"/>
      <c r="DE18" s="187"/>
      <c r="DF18" s="187"/>
      <c r="DG18" s="187"/>
      <c r="DH18" s="187"/>
      <c r="DI18" s="187"/>
      <c r="DJ18" s="187"/>
      <c r="DK18" s="187"/>
      <c r="DL18" s="187"/>
      <c r="DM18" s="187"/>
      <c r="DN18" s="187"/>
      <c r="DO18" s="187"/>
      <c r="DP18" s="187"/>
      <c r="DQ18" s="187"/>
      <c r="DR18" s="187"/>
      <c r="DS18" s="187"/>
      <c r="DT18" s="187"/>
      <c r="DU18" s="187"/>
      <c r="DV18" s="187"/>
      <c r="DW18" s="187"/>
      <c r="DX18" s="187"/>
      <c r="DY18" s="187"/>
      <c r="DZ18" s="187"/>
      <c r="EA18" s="187"/>
      <c r="EB18" s="187"/>
      <c r="EC18" s="187"/>
      <c r="ED18" s="187"/>
      <c r="EE18" s="187"/>
      <c r="EF18" s="187"/>
      <c r="EG18" s="187"/>
      <c r="EH18" s="187"/>
      <c r="EI18" s="187"/>
      <c r="EJ18" s="187"/>
      <c r="EK18" s="187"/>
      <c r="EL18" s="187"/>
      <c r="EM18" s="187"/>
      <c r="EN18" s="187"/>
      <c r="EO18" s="187"/>
      <c r="EP18" s="187"/>
      <c r="EQ18" s="187"/>
      <c r="ER18" s="187"/>
      <c r="ES18" s="187"/>
      <c r="ET18" s="187"/>
      <c r="EU18" s="187"/>
      <c r="EV18" s="187"/>
      <c r="EW18" s="187"/>
      <c r="EX18" s="187"/>
      <c r="EY18" s="187"/>
      <c r="EZ18" s="187"/>
      <c r="FA18" s="187"/>
      <c r="FB18" s="187"/>
      <c r="FC18" s="187"/>
      <c r="FD18" s="187"/>
      <c r="FE18" s="187"/>
      <c r="FF18" s="187"/>
      <c r="FG18" s="187"/>
      <c r="FH18" s="187"/>
      <c r="FI18" s="187"/>
      <c r="FJ18" s="187"/>
      <c r="FK18" s="187"/>
      <c r="FL18" s="187"/>
      <c r="FM18" s="187"/>
      <c r="FN18" s="187"/>
      <c r="FO18" s="187"/>
      <c r="FP18" s="187"/>
      <c r="FQ18" s="187"/>
      <c r="FR18" s="187"/>
      <c r="FS18" s="187"/>
      <c r="FT18" s="187"/>
      <c r="FU18" s="187"/>
      <c r="FV18" s="187"/>
      <c r="FW18" s="187"/>
      <c r="FX18" s="187"/>
      <c r="FY18" s="187"/>
      <c r="FZ18" s="187"/>
      <c r="GA18" s="187"/>
      <c r="GB18" s="187"/>
      <c r="GC18" s="187"/>
      <c r="GD18" s="187"/>
      <c r="GE18" s="187"/>
      <c r="GF18" s="187"/>
      <c r="GG18" s="187"/>
      <c r="GH18" s="187"/>
      <c r="GI18" s="187"/>
      <c r="GJ18" s="187"/>
      <c r="GK18" s="187"/>
      <c r="GL18" s="187"/>
      <c r="GM18" s="187"/>
      <c r="GN18" s="187"/>
      <c r="GO18" s="187"/>
      <c r="GP18" s="187"/>
      <c r="GQ18" s="187"/>
      <c r="GR18" s="187"/>
      <c r="GS18" s="187"/>
      <c r="GT18" s="187"/>
      <c r="GU18" s="187"/>
      <c r="GV18" s="187"/>
      <c r="GW18" s="187"/>
      <c r="GX18" s="187"/>
      <c r="GY18" s="187"/>
      <c r="GZ18" s="187"/>
      <c r="HA18" s="187"/>
      <c r="HB18" s="187"/>
      <c r="HC18" s="187"/>
      <c r="HD18" s="187"/>
      <c r="HE18" s="187"/>
      <c r="HF18" s="187"/>
      <c r="HG18" s="187"/>
      <c r="HH18" s="187"/>
      <c r="HI18" s="187"/>
      <c r="HJ18" s="187"/>
      <c r="HK18" s="187"/>
      <c r="HL18" s="187"/>
      <c r="HM18" s="187"/>
      <c r="HN18" s="187"/>
    </row>
    <row r="19" spans="1:308" ht="33" thickBot="1" x14ac:dyDescent="0.25">
      <c r="A19" s="13" t="s">
        <v>339</v>
      </c>
      <c r="B19" s="14">
        <v>331097593</v>
      </c>
      <c r="C19" s="14"/>
      <c r="D19" s="15">
        <v>94</v>
      </c>
      <c r="E19" s="15"/>
      <c r="F19" s="14">
        <v>164200298</v>
      </c>
      <c r="G19" s="14"/>
      <c r="H19" s="14">
        <v>166897295</v>
      </c>
      <c r="I19" s="14"/>
      <c r="J19" s="16">
        <v>0.49590000000000001</v>
      </c>
      <c r="K19" s="16">
        <v>0.50409999999999999</v>
      </c>
      <c r="L19" s="69">
        <v>38.5</v>
      </c>
      <c r="M19" s="14">
        <v>326147510</v>
      </c>
      <c r="N19" s="14">
        <v>41941456</v>
      </c>
      <c r="O19" s="16">
        <v>0.12859999999999999</v>
      </c>
      <c r="P19" s="14">
        <v>10683985</v>
      </c>
      <c r="Q19" s="14"/>
      <c r="R19" s="14"/>
      <c r="S19" s="14">
        <v>102904</v>
      </c>
      <c r="T19" s="14"/>
      <c r="U19" s="15">
        <v>9.6300000000000008</v>
      </c>
      <c r="V19" s="15"/>
      <c r="W19" s="14">
        <v>259755978</v>
      </c>
      <c r="X19" s="14">
        <v>36442044</v>
      </c>
      <c r="Y19" s="16">
        <v>0.14000000000000001</v>
      </c>
      <c r="Z19" s="14">
        <v>47041079</v>
      </c>
      <c r="AA19" s="16">
        <v>0.18110000000000001</v>
      </c>
      <c r="AB19" s="14">
        <v>333287557</v>
      </c>
      <c r="AC19" s="14">
        <v>1649716</v>
      </c>
      <c r="AD19" s="15">
        <v>495</v>
      </c>
      <c r="AE19" s="14">
        <v>333287557</v>
      </c>
      <c r="AF19" s="14">
        <v>648056</v>
      </c>
      <c r="AG19" s="15">
        <v>194.4</v>
      </c>
      <c r="AH19" s="27">
        <v>282494087</v>
      </c>
      <c r="AI19" s="27"/>
      <c r="AJ19" s="27"/>
      <c r="AK19" s="27">
        <v>37601</v>
      </c>
      <c r="AL19" s="28">
        <v>13.3</v>
      </c>
      <c r="AM19" s="71">
        <v>3674943</v>
      </c>
      <c r="AN19" s="71">
        <v>15057</v>
      </c>
      <c r="AO19" s="69">
        <v>4.0999999999999996</v>
      </c>
      <c r="AP19" s="69"/>
      <c r="AQ19" s="69"/>
      <c r="AR19" s="14">
        <v>232757930</v>
      </c>
      <c r="AS19" s="14">
        <v>70168831</v>
      </c>
      <c r="AT19" s="16">
        <v>0.30099999999999999</v>
      </c>
      <c r="AU19" s="14">
        <v>328239523</v>
      </c>
      <c r="AV19" s="15">
        <v>79.05</v>
      </c>
      <c r="AW19" s="71">
        <v>330014476</v>
      </c>
      <c r="AX19" s="71">
        <v>1856446</v>
      </c>
      <c r="AY19" s="69">
        <v>112.5</v>
      </c>
      <c r="AZ19" s="71">
        <v>519512095</v>
      </c>
      <c r="BA19" s="69">
        <v>4.9000000000000004</v>
      </c>
      <c r="BB19" s="14">
        <v>333266937</v>
      </c>
      <c r="BC19" s="14">
        <v>1045210</v>
      </c>
      <c r="BD19" s="15">
        <v>318.89999999999998</v>
      </c>
      <c r="BE19" s="15">
        <v>313.60000000000002</v>
      </c>
      <c r="BF19" s="14">
        <v>17571402</v>
      </c>
      <c r="BG19" s="14">
        <v>1220306</v>
      </c>
      <c r="BH19" s="16">
        <v>6.9400000000000003E-2</v>
      </c>
      <c r="BI19" s="68">
        <v>196653543</v>
      </c>
      <c r="BJ19" s="68">
        <v>249750</v>
      </c>
      <c r="BK19" s="182">
        <v>127</v>
      </c>
      <c r="BL19" s="14">
        <v>167373333</v>
      </c>
      <c r="BM19" s="14">
        <v>12553</v>
      </c>
      <c r="BN19" s="15">
        <v>7.5</v>
      </c>
      <c r="BO19" s="68">
        <v>378139726</v>
      </c>
      <c r="BP19" s="68">
        <v>138021</v>
      </c>
      <c r="BQ19" s="182">
        <v>36.5</v>
      </c>
      <c r="BR19" s="14">
        <v>398716666</v>
      </c>
      <c r="BS19" s="14">
        <v>215307</v>
      </c>
      <c r="BT19" s="15">
        <v>54</v>
      </c>
      <c r="BU19" s="68">
        <v>192519457</v>
      </c>
      <c r="BV19" s="68">
        <v>212734</v>
      </c>
      <c r="BW19" s="182">
        <v>110.5</v>
      </c>
      <c r="BX19" s="18"/>
      <c r="BY19" s="19">
        <v>19004925</v>
      </c>
      <c r="BZ19" s="19">
        <v>54208780</v>
      </c>
      <c r="CA19" s="19">
        <v>31282896</v>
      </c>
      <c r="CB19" s="19">
        <v>45388153</v>
      </c>
      <c r="CC19" s="19">
        <v>42810359</v>
      </c>
      <c r="CD19" s="19">
        <v>41087357</v>
      </c>
      <c r="CE19" s="19">
        <v>42577475</v>
      </c>
      <c r="CF19" s="19">
        <v>54737648</v>
      </c>
      <c r="CG19" s="68">
        <v>218123424</v>
      </c>
      <c r="CH19" s="68">
        <v>41288572</v>
      </c>
      <c r="CI19" s="68">
        <v>19112979</v>
      </c>
      <c r="CJ19" s="68">
        <v>2786431</v>
      </c>
      <c r="CK19" s="68">
        <v>624863</v>
      </c>
      <c r="CL19" s="68">
        <v>20018544</v>
      </c>
      <c r="CM19" s="68">
        <v>29142780</v>
      </c>
      <c r="CN19" s="37">
        <v>125736353</v>
      </c>
      <c r="CO19" s="38">
        <v>105833</v>
      </c>
      <c r="CP19" s="38">
        <v>75149</v>
      </c>
      <c r="CQ19" s="42">
        <v>38445</v>
      </c>
      <c r="CR19" s="42">
        <v>83185</v>
      </c>
      <c r="CS19" s="42">
        <v>97644</v>
      </c>
      <c r="CT19" s="42">
        <v>113664</v>
      </c>
      <c r="CU19" s="42">
        <v>106473</v>
      </c>
      <c r="CV19" s="42">
        <v>104420</v>
      </c>
      <c r="CW19" s="42">
        <v>113370</v>
      </c>
      <c r="CX19" s="46">
        <v>0.14779999999999999</v>
      </c>
      <c r="CY19" s="46">
        <v>0.18049999999999999</v>
      </c>
      <c r="CZ19" s="46">
        <v>0.29620000000000002</v>
      </c>
      <c r="DA19" s="46">
        <v>0.2611</v>
      </c>
      <c r="DB19" s="46">
        <v>0.1143</v>
      </c>
    </row>
    <row r="20" spans="1:308" ht="17" thickBot="1" x14ac:dyDescent="0.25">
      <c r="A20" s="13"/>
      <c r="B20" s="30"/>
      <c r="C20" s="30"/>
      <c r="D20" s="31"/>
      <c r="E20" s="31"/>
      <c r="F20" s="30"/>
      <c r="G20" s="30"/>
      <c r="H20" s="30"/>
      <c r="I20" s="30"/>
      <c r="J20" s="33"/>
      <c r="K20" s="33"/>
      <c r="L20" s="69"/>
      <c r="M20" s="30"/>
      <c r="N20" s="30"/>
      <c r="O20" s="33"/>
      <c r="P20" s="30"/>
      <c r="Q20" s="30"/>
      <c r="R20" s="251"/>
      <c r="S20" s="251"/>
      <c r="T20" s="251"/>
      <c r="U20" s="252"/>
      <c r="V20" s="252"/>
      <c r="W20" s="251"/>
      <c r="X20" s="251"/>
      <c r="Y20" s="185"/>
      <c r="Z20" s="251"/>
      <c r="AA20" s="185"/>
      <c r="AB20" s="251"/>
      <c r="AC20" s="251"/>
      <c r="AD20" s="252"/>
      <c r="AE20" s="251"/>
      <c r="AF20" s="251"/>
      <c r="AG20" s="252"/>
      <c r="AH20" s="251"/>
      <c r="AI20" s="251"/>
      <c r="AJ20" s="251"/>
      <c r="AK20" s="251"/>
      <c r="AL20" s="252"/>
      <c r="AM20" s="68"/>
      <c r="AN20" s="68"/>
      <c r="AO20" s="182"/>
      <c r="AP20" s="182"/>
      <c r="AQ20" s="182"/>
      <c r="AR20" s="251"/>
      <c r="AS20" s="251"/>
      <c r="AT20" s="185"/>
      <c r="AU20" s="251"/>
      <c r="AV20" s="252"/>
      <c r="AW20" s="68"/>
      <c r="AX20" s="68"/>
      <c r="AY20" s="182"/>
      <c r="AZ20" s="68"/>
      <c r="BA20" s="182"/>
      <c r="BB20" s="251"/>
      <c r="BC20" s="251"/>
      <c r="BD20" s="252"/>
      <c r="BE20" s="252"/>
      <c r="BF20" s="251"/>
      <c r="BG20" s="251"/>
      <c r="BH20" s="185"/>
      <c r="BI20" s="68"/>
      <c r="BJ20" s="68"/>
      <c r="BK20" s="182"/>
      <c r="BL20" s="251"/>
      <c r="BM20" s="251"/>
      <c r="BN20" s="252"/>
      <c r="BO20" s="68"/>
      <c r="BP20" s="68"/>
      <c r="BQ20" s="182"/>
      <c r="BR20" s="251"/>
      <c r="BS20" s="251"/>
      <c r="BT20" s="252"/>
      <c r="BU20" s="68"/>
      <c r="BV20" s="68"/>
      <c r="BW20" s="182"/>
      <c r="BX20" s="252"/>
      <c r="BY20" s="251"/>
      <c r="BZ20" s="251"/>
      <c r="CA20" s="251"/>
      <c r="CB20" s="251"/>
      <c r="CC20" s="251"/>
      <c r="CD20" s="251"/>
      <c r="CE20" s="251"/>
      <c r="CF20" s="251"/>
      <c r="CG20" s="68"/>
      <c r="CH20" s="68"/>
      <c r="CI20" s="68"/>
      <c r="CJ20" s="68"/>
      <c r="CK20" s="68"/>
      <c r="CL20" s="68"/>
      <c r="CM20" s="68"/>
      <c r="CN20" s="253"/>
      <c r="CO20" s="254"/>
      <c r="CP20" s="254"/>
      <c r="CQ20" s="255"/>
      <c r="CR20" s="255"/>
      <c r="CS20" s="255"/>
      <c r="CT20" s="255"/>
      <c r="CU20" s="255"/>
      <c r="CV20" s="255"/>
      <c r="CW20" s="255"/>
      <c r="CX20" s="256"/>
      <c r="CY20" s="256"/>
      <c r="CZ20" s="256"/>
      <c r="DA20" s="256"/>
      <c r="DB20" s="256"/>
    </row>
    <row r="21" spans="1:308" ht="21" thickBot="1" x14ac:dyDescent="0.25">
      <c r="A21" s="250" t="s">
        <v>402</v>
      </c>
      <c r="B21" s="30"/>
      <c r="C21" s="30"/>
      <c r="D21" s="31"/>
      <c r="E21" s="31"/>
      <c r="F21" s="30"/>
      <c r="G21" s="30"/>
      <c r="H21" s="30"/>
      <c r="I21" s="30"/>
      <c r="J21" s="33"/>
      <c r="K21" s="33"/>
      <c r="L21" s="69"/>
      <c r="M21" s="30"/>
      <c r="N21" s="30"/>
      <c r="O21" s="33"/>
      <c r="P21" s="30"/>
      <c r="Q21" s="30"/>
      <c r="R21" s="251"/>
      <c r="S21" s="251"/>
      <c r="T21" s="251"/>
      <c r="U21" s="252"/>
      <c r="V21" s="252"/>
      <c r="W21" s="251"/>
      <c r="X21" s="251"/>
      <c r="Y21" s="185"/>
      <c r="Z21" s="251"/>
      <c r="AA21" s="185"/>
      <c r="AB21" s="251"/>
      <c r="AC21" s="251"/>
      <c r="AD21" s="252"/>
      <c r="AE21" s="251"/>
      <c r="AF21" s="251"/>
      <c r="AG21" s="252"/>
      <c r="AH21" s="251"/>
      <c r="AI21" s="251"/>
      <c r="AJ21" s="251"/>
      <c r="AK21" s="251"/>
      <c r="AL21" s="252"/>
      <c r="AM21" s="68"/>
      <c r="AN21" s="68"/>
      <c r="AO21" s="182"/>
      <c r="AP21" s="182"/>
      <c r="AQ21" s="182"/>
      <c r="AR21" s="251"/>
      <c r="AS21" s="251"/>
      <c r="AT21" s="185"/>
      <c r="AU21" s="251"/>
      <c r="AV21" s="252"/>
      <c r="AW21" s="68"/>
      <c r="AX21" s="68"/>
      <c r="AY21" s="182"/>
      <c r="AZ21" s="68"/>
      <c r="BA21" s="182"/>
      <c r="BB21" s="251"/>
      <c r="BC21" s="251"/>
      <c r="BD21" s="252"/>
      <c r="BE21" s="252"/>
      <c r="BF21" s="251"/>
      <c r="BG21" s="251"/>
      <c r="BH21" s="185"/>
      <c r="BI21" s="68"/>
      <c r="BJ21" s="68"/>
      <c r="BK21" s="182"/>
      <c r="BL21" s="251"/>
      <c r="BM21" s="251"/>
      <c r="BN21" s="252"/>
      <c r="BO21" s="68"/>
      <c r="BP21" s="68"/>
      <c r="BQ21" s="182"/>
      <c r="BR21" s="251"/>
      <c r="BS21" s="251"/>
      <c r="BT21" s="252"/>
      <c r="BU21" s="68"/>
      <c r="BV21" s="68"/>
      <c r="BW21" s="182"/>
      <c r="BX21" s="252"/>
      <c r="BY21" s="251"/>
      <c r="BZ21" s="251"/>
      <c r="CA21" s="251"/>
      <c r="CB21" s="251"/>
      <c r="CC21" s="251"/>
      <c r="CD21" s="251"/>
      <c r="CE21" s="251"/>
      <c r="CF21" s="251"/>
      <c r="CG21" s="68"/>
      <c r="CH21" s="68"/>
      <c r="CI21" s="68"/>
      <c r="CJ21" s="68"/>
      <c r="CK21" s="68"/>
      <c r="CL21" s="68"/>
      <c r="CM21" s="68"/>
      <c r="CN21" s="253"/>
      <c r="CO21" s="254"/>
      <c r="CP21" s="254"/>
      <c r="CQ21" s="255"/>
      <c r="CR21" s="255"/>
      <c r="CS21" s="255"/>
      <c r="CT21" s="255"/>
      <c r="CU21" s="255"/>
      <c r="CV21" s="255"/>
      <c r="CW21" s="255"/>
      <c r="CX21" s="256"/>
      <c r="CY21" s="256"/>
      <c r="CZ21" s="256"/>
      <c r="DA21" s="256"/>
      <c r="DB21" s="256"/>
    </row>
    <row r="22" spans="1:308" ht="33" thickBot="1" x14ac:dyDescent="0.25">
      <c r="A22" s="13" t="s">
        <v>6</v>
      </c>
      <c r="B22" s="54" t="s">
        <v>193</v>
      </c>
      <c r="C22" s="30"/>
      <c r="D22" s="56" t="s">
        <v>340</v>
      </c>
      <c r="E22" s="56" t="s">
        <v>341</v>
      </c>
      <c r="F22" s="54" t="s">
        <v>170</v>
      </c>
      <c r="G22" s="54" t="s">
        <v>171</v>
      </c>
      <c r="H22" s="30"/>
      <c r="I22" s="32" t="s">
        <v>327</v>
      </c>
      <c r="J22" s="55" t="s">
        <v>175</v>
      </c>
      <c r="K22" s="55" t="s">
        <v>176</v>
      </c>
      <c r="L22" s="55" t="s">
        <v>177</v>
      </c>
      <c r="M22" s="55" t="s">
        <v>178</v>
      </c>
      <c r="N22" s="55" t="s">
        <v>179</v>
      </c>
      <c r="O22" s="55" t="s">
        <v>180</v>
      </c>
      <c r="P22" s="55" t="s">
        <v>181</v>
      </c>
      <c r="Q22" s="55" t="s">
        <v>182</v>
      </c>
      <c r="R22" s="251"/>
      <c r="S22" s="251"/>
      <c r="T22" s="251"/>
      <c r="U22" s="252"/>
      <c r="V22" s="252"/>
      <c r="W22" s="251"/>
      <c r="X22" s="251"/>
      <c r="Y22" s="185"/>
      <c r="Z22" s="251"/>
      <c r="AA22" s="185"/>
      <c r="AB22" s="251"/>
      <c r="AC22" s="251"/>
      <c r="AD22" s="252"/>
      <c r="AE22" s="251"/>
      <c r="AF22" s="251"/>
      <c r="AG22" s="252"/>
      <c r="AH22" s="251"/>
      <c r="AI22" s="251"/>
      <c r="AJ22" s="251"/>
      <c r="AK22" s="251"/>
      <c r="AL22" s="252"/>
      <c r="AM22" s="68"/>
      <c r="AN22" s="68"/>
      <c r="AO22" s="182"/>
      <c r="AP22" s="182"/>
      <c r="AQ22" s="182"/>
      <c r="AR22" s="251"/>
      <c r="AS22" s="251"/>
      <c r="AT22" s="185"/>
      <c r="AU22" s="251"/>
      <c r="AV22" s="252"/>
      <c r="AW22" s="68"/>
      <c r="AX22" s="68"/>
      <c r="AY22" s="182"/>
      <c r="AZ22" s="68"/>
      <c r="BA22" s="182"/>
      <c r="BB22" s="251"/>
      <c r="BC22" s="251"/>
      <c r="BD22" s="252"/>
      <c r="BE22" s="252"/>
      <c r="BF22" s="251"/>
      <c r="BG22" s="251"/>
      <c r="BH22" s="185"/>
      <c r="BI22" s="68"/>
      <c r="BJ22" s="68"/>
      <c r="BK22" s="182"/>
      <c r="BL22" s="251"/>
      <c r="BM22" s="251"/>
      <c r="BN22" s="252"/>
      <c r="BO22" s="68"/>
      <c r="BP22" s="68"/>
      <c r="BQ22" s="182"/>
      <c r="BR22" s="251"/>
      <c r="BS22" s="251"/>
      <c r="BT22" s="252"/>
      <c r="BU22" s="68"/>
      <c r="BV22" s="68"/>
      <c r="BW22" s="182"/>
      <c r="BX22" s="182"/>
      <c r="BY22" s="182"/>
      <c r="BZ22" s="182"/>
      <c r="CA22" s="182"/>
      <c r="CB22" s="182"/>
      <c r="CC22" s="182"/>
      <c r="CD22" s="182"/>
      <c r="CE22" s="182"/>
      <c r="CF22" s="182"/>
      <c r="CG22" s="182"/>
      <c r="CH22" s="182"/>
      <c r="CI22" s="182"/>
      <c r="CJ22" s="182"/>
      <c r="CK22" s="68"/>
      <c r="CL22" s="68"/>
      <c r="CM22" s="18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</row>
    <row r="23" spans="1:308" s="176" customFormat="1" ht="17" thickBot="1" x14ac:dyDescent="0.25">
      <c r="A23" s="160" t="s">
        <v>198</v>
      </c>
      <c r="B23" s="165">
        <f t="shared" ref="B23:B35" si="0">AVERAGE(B5:C5)</f>
        <v>82463.5</v>
      </c>
      <c r="C23" s="164"/>
      <c r="D23" s="181">
        <f t="shared" ref="D23:D35" si="1">(F23/B23)*100</f>
        <v>47.861174944066164</v>
      </c>
      <c r="E23" s="181">
        <f>(G23/B23)*100</f>
        <v>52.138825055933836</v>
      </c>
      <c r="F23" s="165">
        <f t="shared" ref="F23:F35" si="2">AVERAGE(F5:G5)</f>
        <v>39468</v>
      </c>
      <c r="G23" s="165">
        <f t="shared" ref="G23:G36" si="3">AVERAGE(H5:I5)</f>
        <v>42995.5</v>
      </c>
      <c r="H23" s="164"/>
      <c r="I23" s="169"/>
      <c r="J23" s="177">
        <v>1484</v>
      </c>
      <c r="K23" s="177">
        <v>4607</v>
      </c>
      <c r="L23" s="177">
        <v>2662</v>
      </c>
      <c r="M23" s="177">
        <v>2191</v>
      </c>
      <c r="N23" s="177">
        <v>3070</v>
      </c>
      <c r="O23" s="177">
        <v>2947</v>
      </c>
      <c r="P23" s="177">
        <v>3409</v>
      </c>
      <c r="Q23" s="177">
        <v>3967</v>
      </c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  <c r="AT23" s="182"/>
      <c r="AU23" s="182"/>
      <c r="AV23" s="182"/>
      <c r="AW23" s="182"/>
      <c r="AX23" s="182"/>
      <c r="AY23" s="182"/>
      <c r="AZ23" s="182"/>
      <c r="BA23" s="182"/>
      <c r="BB23" s="182"/>
      <c r="BC23" s="182"/>
      <c r="BD23" s="182"/>
      <c r="BE23" s="182"/>
      <c r="BF23" s="182"/>
      <c r="BG23" s="182"/>
      <c r="BH23" s="182"/>
      <c r="BI23" s="182"/>
      <c r="BJ23" s="182"/>
      <c r="BK23" s="4"/>
      <c r="BL23" s="4"/>
      <c r="BM23" s="4"/>
      <c r="BN23" s="4"/>
      <c r="BO23" s="182"/>
      <c r="BP23" s="182"/>
      <c r="BQ23" s="182"/>
      <c r="BR23" s="182"/>
      <c r="BS23" s="182"/>
      <c r="BT23" s="182"/>
      <c r="BU23" s="182"/>
      <c r="BV23" s="182"/>
      <c r="BW23" s="182"/>
      <c r="BX23" s="182"/>
      <c r="BY23" s="182"/>
      <c r="BZ23" s="182"/>
      <c r="CA23" s="182"/>
      <c r="CB23" s="182"/>
      <c r="CC23" s="182"/>
      <c r="CD23" s="182"/>
      <c r="CE23" s="182"/>
      <c r="CF23" s="182"/>
      <c r="CG23" s="182"/>
      <c r="CH23" s="182"/>
      <c r="CI23" s="182"/>
      <c r="CJ23" s="182"/>
      <c r="CK23" s="182"/>
      <c r="CL23" s="182"/>
      <c r="CM23" s="18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</row>
    <row r="24" spans="1:308" s="176" customFormat="1" ht="17" thickBot="1" x14ac:dyDescent="0.25">
      <c r="A24" s="160" t="s">
        <v>110</v>
      </c>
      <c r="B24" s="165">
        <f t="shared" si="0"/>
        <v>557761.5</v>
      </c>
      <c r="C24" s="164"/>
      <c r="D24" s="181">
        <f t="shared" si="1"/>
        <v>48.908359576629081</v>
      </c>
      <c r="E24" s="181">
        <f>(G24/B24)*100</f>
        <v>51.091640423370919</v>
      </c>
      <c r="F24" s="165">
        <f t="shared" si="2"/>
        <v>272792</v>
      </c>
      <c r="G24" s="165">
        <f t="shared" si="3"/>
        <v>284969.5</v>
      </c>
      <c r="H24" s="164"/>
      <c r="I24" s="169"/>
      <c r="J24" s="177">
        <v>9500</v>
      </c>
      <c r="K24" s="177">
        <v>29755</v>
      </c>
      <c r="L24" s="177">
        <v>12875</v>
      </c>
      <c r="M24" s="177">
        <v>21030</v>
      </c>
      <c r="N24" s="177">
        <v>22631</v>
      </c>
      <c r="O24" s="177">
        <v>19907</v>
      </c>
      <c r="P24" s="177">
        <v>18281</v>
      </c>
      <c r="Q24" s="177">
        <v>22942</v>
      </c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73"/>
      <c r="AU24" s="182"/>
      <c r="AV24" s="182"/>
      <c r="AW24" s="182"/>
      <c r="AX24" s="182"/>
      <c r="AY24" s="2"/>
      <c r="AZ24" s="182"/>
      <c r="BA24" s="182"/>
      <c r="BB24" s="182"/>
      <c r="BC24" s="182"/>
      <c r="BD24" s="182"/>
      <c r="BE24" s="182"/>
      <c r="BF24" s="182"/>
      <c r="BG24" s="182"/>
      <c r="BH24" s="73"/>
      <c r="BI24"/>
      <c r="BJ24" s="182"/>
      <c r="BK24" s="182"/>
      <c r="BL24" s="182"/>
      <c r="BM24" s="182"/>
      <c r="BN24" s="182"/>
      <c r="BO24" s="182"/>
      <c r="BP24" s="182"/>
      <c r="BQ24" s="182"/>
      <c r="BR24" s="182"/>
      <c r="BS24" s="182"/>
      <c r="BT24" s="182"/>
      <c r="BU24" s="182"/>
      <c r="BV24" s="182"/>
      <c r="BW24" s="182"/>
      <c r="BX24" s="182"/>
      <c r="BY24" s="182"/>
      <c r="BZ24" s="182"/>
      <c r="CA24" s="182"/>
      <c r="CB24" s="182"/>
      <c r="CC24" s="182"/>
      <c r="CD24" s="182"/>
      <c r="CE24" s="182"/>
      <c r="CF24" s="182"/>
      <c r="CG24" s="182"/>
      <c r="CH24" s="182"/>
      <c r="CI24" s="182"/>
      <c r="CJ24" s="182"/>
      <c r="CK24" s="182"/>
      <c r="CL24" s="182"/>
      <c r="CM24" s="18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</row>
    <row r="25" spans="1:308" ht="17" thickBot="1" x14ac:dyDescent="0.25">
      <c r="A25" s="13" t="s">
        <v>329</v>
      </c>
      <c r="B25" s="68">
        <f t="shared" si="0"/>
        <v>79718</v>
      </c>
      <c r="C25" s="182"/>
      <c r="D25" s="72">
        <f t="shared" si="1"/>
        <v>49.966757821320151</v>
      </c>
      <c r="E25" s="72">
        <f t="shared" ref="E25:E36" si="4">(G25/B25)*100</f>
        <v>50.033242178679849</v>
      </c>
      <c r="F25" s="68">
        <f t="shared" si="2"/>
        <v>39832.5</v>
      </c>
      <c r="G25" s="68">
        <f t="shared" si="3"/>
        <v>39885.5</v>
      </c>
      <c r="H25" s="182"/>
      <c r="I25" s="18"/>
      <c r="J25" s="19">
        <v>1585</v>
      </c>
      <c r="K25" s="19">
        <v>4132</v>
      </c>
      <c r="L25" s="19">
        <v>1917</v>
      </c>
      <c r="M25" s="19">
        <v>3249</v>
      </c>
      <c r="N25" s="19">
        <v>2881</v>
      </c>
      <c r="O25" s="19">
        <v>2571</v>
      </c>
      <c r="P25" s="19">
        <v>2907</v>
      </c>
      <c r="Q25" s="19">
        <v>3665</v>
      </c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  <c r="BC25" s="182"/>
      <c r="BD25" s="182"/>
      <c r="BE25" s="182"/>
      <c r="BF25" s="182"/>
      <c r="BG25" s="182"/>
      <c r="BH25" s="182"/>
      <c r="BI25" s="182"/>
      <c r="BJ25" s="182"/>
      <c r="BK25" s="182"/>
      <c r="BL25" s="182"/>
      <c r="BM25" s="182"/>
      <c r="BN25" s="182"/>
      <c r="BO25" s="182"/>
      <c r="BP25" s="182"/>
      <c r="BQ25" s="182"/>
      <c r="BR25" s="182"/>
      <c r="BS25" s="182"/>
      <c r="BT25" s="182"/>
      <c r="BU25" s="182"/>
      <c r="BV25" s="182"/>
      <c r="BW25" s="182"/>
      <c r="BX25" s="182"/>
      <c r="BY25" s="182"/>
      <c r="BZ25" s="182"/>
      <c r="CA25" s="182"/>
      <c r="CB25" s="182"/>
      <c r="CC25" s="182"/>
      <c r="CD25" s="182"/>
      <c r="CE25" s="182"/>
      <c r="CF25" s="182"/>
      <c r="CG25" s="182"/>
      <c r="CH25" s="182"/>
      <c r="CI25" s="182"/>
      <c r="CJ25" s="182"/>
      <c r="CK25" s="182"/>
      <c r="CL25" s="182"/>
      <c r="CM25" s="18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</row>
    <row r="26" spans="1:308" ht="16" x14ac:dyDescent="0.2">
      <c r="A26" s="20" t="s">
        <v>330</v>
      </c>
      <c r="B26" s="68">
        <f t="shared" si="0"/>
        <v>10332.5</v>
      </c>
      <c r="C26" s="182"/>
      <c r="D26" s="72">
        <f t="shared" si="1"/>
        <v>49.073312363900314</v>
      </c>
      <c r="E26" s="72">
        <f t="shared" si="4"/>
        <v>50.926687636099686</v>
      </c>
      <c r="F26" s="68">
        <f t="shared" si="2"/>
        <v>5070.5</v>
      </c>
      <c r="G26" s="68">
        <f t="shared" si="3"/>
        <v>5262</v>
      </c>
      <c r="H26" s="182"/>
      <c r="I26" s="24"/>
      <c r="J26" s="24">
        <v>141</v>
      </c>
      <c r="K26" s="24">
        <v>481</v>
      </c>
      <c r="L26" s="24">
        <v>294</v>
      </c>
      <c r="M26" s="24">
        <v>262</v>
      </c>
      <c r="N26" s="24">
        <v>392</v>
      </c>
      <c r="O26" s="24">
        <v>424</v>
      </c>
      <c r="P26" s="24">
        <v>416</v>
      </c>
      <c r="Q26" s="24">
        <v>493</v>
      </c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2"/>
      <c r="AU26" s="182"/>
      <c r="AV26" s="182"/>
      <c r="AW26" s="182"/>
      <c r="AX26" s="182"/>
      <c r="AY26" s="182"/>
      <c r="AZ26" s="182"/>
      <c r="BA26" s="182"/>
      <c r="BB26" s="182"/>
      <c r="BC26" s="182"/>
      <c r="BD26" s="182"/>
      <c r="BE26" s="182"/>
      <c r="BF26" s="182"/>
      <c r="BG26" s="182"/>
      <c r="BH26" s="182"/>
      <c r="BI26" s="182"/>
      <c r="BJ26" s="182"/>
      <c r="BK26" s="182"/>
      <c r="BL26" s="182"/>
      <c r="BM26" s="182"/>
      <c r="BN26" s="182"/>
      <c r="BO26" s="182"/>
      <c r="BP26" s="182"/>
      <c r="BQ26" s="182"/>
      <c r="BR26" s="182"/>
      <c r="BS26" s="182"/>
      <c r="BT26" s="182"/>
      <c r="BU26" s="182"/>
      <c r="BV26" s="182"/>
      <c r="BW26" s="182"/>
      <c r="BX26" s="182"/>
      <c r="BY26" s="182"/>
      <c r="BZ26" s="182"/>
      <c r="CA26" s="182"/>
      <c r="CB26" s="4"/>
      <c r="CC26" s="182"/>
      <c r="CD26" s="182"/>
      <c r="CE26" s="182"/>
      <c r="CF26" s="182"/>
      <c r="CG26" s="182"/>
      <c r="CH26" s="182"/>
      <c r="CI26" s="182"/>
      <c r="CJ26" s="182"/>
      <c r="CK26" s="182"/>
      <c r="CL26" s="182"/>
      <c r="CM26" s="18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</row>
    <row r="27" spans="1:308" ht="16" x14ac:dyDescent="0.2">
      <c r="A27" s="13" t="s">
        <v>331</v>
      </c>
      <c r="B27" s="68">
        <f t="shared" si="0"/>
        <v>53835.5</v>
      </c>
      <c r="C27" s="182"/>
      <c r="D27" s="72">
        <f t="shared" si="1"/>
        <v>48.571110141077909</v>
      </c>
      <c r="E27" s="72">
        <f t="shared" si="4"/>
        <v>51.428889858922091</v>
      </c>
      <c r="F27" s="68">
        <f t="shared" si="2"/>
        <v>26148.5</v>
      </c>
      <c r="G27" s="68">
        <f t="shared" si="3"/>
        <v>27687</v>
      </c>
      <c r="H27" s="182"/>
      <c r="I27" s="18"/>
      <c r="J27" s="18">
        <v>921</v>
      </c>
      <c r="K27" s="19">
        <v>2709</v>
      </c>
      <c r="L27" s="19">
        <v>1411</v>
      </c>
      <c r="M27" s="19">
        <v>1778</v>
      </c>
      <c r="N27" s="19">
        <v>1987</v>
      </c>
      <c r="O27" s="19">
        <v>1786</v>
      </c>
      <c r="P27" s="19">
        <v>2123</v>
      </c>
      <c r="Q27" s="19">
        <v>2876</v>
      </c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2"/>
      <c r="AT27" s="182"/>
      <c r="AU27" s="182"/>
      <c r="AV27" s="182"/>
      <c r="AW27" s="182"/>
      <c r="AX27" s="182"/>
      <c r="AY27" s="182"/>
      <c r="AZ27" s="182"/>
      <c r="BA27" s="182"/>
      <c r="BB27" s="182"/>
      <c r="BC27" s="182"/>
      <c r="BD27" s="182"/>
      <c r="BE27" s="182"/>
      <c r="BF27" s="182"/>
      <c r="BG27" s="182"/>
      <c r="BH27" s="182"/>
      <c r="BI27" s="182"/>
      <c r="BJ27" s="182"/>
      <c r="BK27" s="182"/>
      <c r="BL27" s="182"/>
      <c r="BM27" s="182"/>
      <c r="BN27" s="182"/>
      <c r="BO27" s="182"/>
      <c r="BP27" s="182"/>
      <c r="BQ27" s="182"/>
      <c r="BR27" s="182"/>
      <c r="BS27" s="182"/>
      <c r="BT27" s="182"/>
      <c r="BU27" s="182"/>
      <c r="BV27" s="4"/>
      <c r="BW27" s="4"/>
      <c r="BX27" s="4"/>
      <c r="BY27" s="182"/>
      <c r="BZ27" s="4"/>
      <c r="CA27" s="4"/>
      <c r="CC27" s="182"/>
      <c r="CD27" s="182"/>
      <c r="CE27" s="182"/>
      <c r="CF27" s="182"/>
      <c r="CG27" s="182"/>
      <c r="CH27" s="182"/>
      <c r="CI27" s="182"/>
      <c r="CJ27" s="182"/>
      <c r="CK27" s="182"/>
      <c r="CL27" s="182"/>
      <c r="CM27" s="18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</row>
    <row r="28" spans="1:308" ht="16" x14ac:dyDescent="0.2">
      <c r="A28" s="20" t="s">
        <v>332</v>
      </c>
      <c r="B28" s="68">
        <f t="shared" si="0"/>
        <v>30382</v>
      </c>
      <c r="C28" s="182"/>
      <c r="D28" s="72">
        <f t="shared" si="1"/>
        <v>52.837206240537157</v>
      </c>
      <c r="E28" s="72">
        <f t="shared" si="4"/>
        <v>47.162793759462843</v>
      </c>
      <c r="F28" s="68">
        <f t="shared" si="2"/>
        <v>16053</v>
      </c>
      <c r="G28" s="68">
        <f t="shared" si="3"/>
        <v>14329</v>
      </c>
      <c r="H28" s="182"/>
      <c r="I28" s="24"/>
      <c r="J28" s="24">
        <v>266</v>
      </c>
      <c r="K28" s="25">
        <v>1357</v>
      </c>
      <c r="L28" s="24">
        <v>474</v>
      </c>
      <c r="M28" s="24">
        <v>910</v>
      </c>
      <c r="N28" s="25">
        <v>1379</v>
      </c>
      <c r="O28" s="24">
        <v>915</v>
      </c>
      <c r="P28" s="25">
        <v>1552</v>
      </c>
      <c r="Q28" s="25">
        <v>1851</v>
      </c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182"/>
      <c r="AR28" s="182"/>
      <c r="AS28" s="182"/>
      <c r="AT28" s="182"/>
      <c r="AU28" s="182"/>
      <c r="AV28" s="182"/>
      <c r="AW28" s="182"/>
      <c r="AX28" s="182"/>
      <c r="AY28" s="182"/>
      <c r="AZ28" s="182"/>
      <c r="BA28" s="182"/>
      <c r="BB28" s="182"/>
      <c r="BC28" s="182"/>
      <c r="BD28" s="182"/>
      <c r="BE28" s="182"/>
      <c r="BF28" s="182"/>
      <c r="BG28" s="182"/>
      <c r="BH28" s="182"/>
      <c r="BI28" s="182"/>
      <c r="BJ28" s="182"/>
      <c r="BK28" s="182"/>
      <c r="BL28" s="182"/>
      <c r="BM28" s="182"/>
      <c r="BN28" s="182"/>
      <c r="BO28" s="182"/>
      <c r="BP28" s="182"/>
      <c r="BQ28" s="182"/>
      <c r="BR28" s="182"/>
      <c r="BS28" s="182"/>
      <c r="BT28" s="182"/>
      <c r="BU28" s="182"/>
      <c r="BV28" s="68"/>
      <c r="BW28" s="68"/>
      <c r="BX28" s="182"/>
      <c r="BY28" s="182"/>
      <c r="BZ28" s="182"/>
      <c r="CA28" s="182"/>
      <c r="CB28" s="182"/>
      <c r="CC28" s="182"/>
      <c r="CD28" s="182"/>
      <c r="CE28" s="182"/>
      <c r="CF28" s="182"/>
      <c r="CG28" s="182"/>
      <c r="CH28" s="182"/>
      <c r="CI28" s="182"/>
      <c r="CJ28" s="182"/>
      <c r="CK28" s="182"/>
      <c r="CL28" s="182"/>
      <c r="CM28" s="18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</row>
    <row r="29" spans="1:308" ht="16" x14ac:dyDescent="0.2">
      <c r="A29" s="13" t="s">
        <v>333</v>
      </c>
      <c r="B29" s="68">
        <f t="shared" si="0"/>
        <v>27531</v>
      </c>
      <c r="C29" s="182"/>
      <c r="D29" s="72">
        <f t="shared" si="1"/>
        <v>48.563437579455886</v>
      </c>
      <c r="E29" s="72">
        <f t="shared" si="4"/>
        <v>51.436562420544121</v>
      </c>
      <c r="F29" s="68">
        <f t="shared" si="2"/>
        <v>13370</v>
      </c>
      <c r="G29" s="68">
        <f t="shared" si="3"/>
        <v>14161</v>
      </c>
      <c r="H29" s="182"/>
      <c r="I29" s="18"/>
      <c r="J29" s="18">
        <v>315</v>
      </c>
      <c r="K29" s="19">
        <v>1176</v>
      </c>
      <c r="L29" s="18">
        <v>540</v>
      </c>
      <c r="M29" s="18">
        <v>654</v>
      </c>
      <c r="N29" s="18">
        <v>953</v>
      </c>
      <c r="O29" s="18">
        <v>910</v>
      </c>
      <c r="P29" s="19">
        <v>1265</v>
      </c>
      <c r="Q29" s="19">
        <v>1913</v>
      </c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182"/>
      <c r="AR29" s="182"/>
      <c r="AS29" s="182"/>
      <c r="AT29" s="182"/>
      <c r="AU29" s="182"/>
      <c r="AV29" s="182"/>
      <c r="AW29" s="182"/>
      <c r="AX29" s="182"/>
      <c r="AY29" s="182"/>
      <c r="AZ29" s="182"/>
      <c r="BA29" s="182"/>
      <c r="BB29" s="182"/>
      <c r="BC29" s="182"/>
      <c r="BD29" s="182"/>
      <c r="BE29" s="182"/>
      <c r="BF29" s="182"/>
      <c r="BG29" s="182"/>
      <c r="BH29" s="182"/>
      <c r="BI29" s="182"/>
      <c r="BJ29" s="182"/>
      <c r="BK29" s="182"/>
      <c r="BL29" s="182"/>
      <c r="BM29" s="182"/>
      <c r="BN29" s="182"/>
      <c r="BO29" s="182"/>
      <c r="BP29" s="182"/>
      <c r="BQ29" s="182"/>
      <c r="BR29" s="182"/>
      <c r="BS29" s="182"/>
      <c r="BT29" s="182"/>
      <c r="BU29" s="182"/>
      <c r="BV29" s="68"/>
      <c r="BW29" s="68"/>
      <c r="BX29" s="68"/>
      <c r="BY29" s="182"/>
      <c r="BZ29" s="182"/>
      <c r="CA29" s="68"/>
      <c r="CB29" s="68"/>
      <c r="CC29" s="182"/>
      <c r="CD29" s="182"/>
      <c r="CE29" s="182"/>
      <c r="CF29" s="182"/>
      <c r="CG29" s="182"/>
      <c r="CH29" s="182"/>
      <c r="CI29" s="182"/>
      <c r="CJ29" s="182"/>
      <c r="CK29" s="182"/>
      <c r="CL29" s="182"/>
      <c r="CM29" s="18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</row>
    <row r="30" spans="1:308" s="176" customFormat="1" ht="16" x14ac:dyDescent="0.2">
      <c r="A30" s="160" t="s">
        <v>334</v>
      </c>
      <c r="B30" s="165">
        <f t="shared" si="0"/>
        <v>75432.5</v>
      </c>
      <c r="C30" s="164"/>
      <c r="D30" s="181">
        <f t="shared" si="1"/>
        <v>47.185894674046331</v>
      </c>
      <c r="E30" s="181">
        <f t="shared" si="4"/>
        <v>52.814105325953662</v>
      </c>
      <c r="F30" s="165">
        <f t="shared" si="2"/>
        <v>35593.5</v>
      </c>
      <c r="G30" s="165">
        <f t="shared" si="3"/>
        <v>39839</v>
      </c>
      <c r="H30" s="164"/>
      <c r="I30" s="169"/>
      <c r="J30" s="177">
        <v>1358</v>
      </c>
      <c r="K30" s="177">
        <v>4044</v>
      </c>
      <c r="L30" s="177">
        <v>1608</v>
      </c>
      <c r="M30" s="177">
        <v>2770</v>
      </c>
      <c r="N30" s="177">
        <v>2500</v>
      </c>
      <c r="O30" s="177">
        <v>2534</v>
      </c>
      <c r="P30" s="177">
        <v>3008</v>
      </c>
      <c r="Q30" s="177">
        <v>3893</v>
      </c>
      <c r="R30" s="182"/>
      <c r="S30" s="182"/>
      <c r="T30" s="182"/>
      <c r="U30" s="182"/>
      <c r="V30" s="182"/>
      <c r="W30" s="182"/>
      <c r="X30" s="182"/>
      <c r="Y30" s="182"/>
      <c r="Z30" s="4"/>
      <c r="AA30" s="4"/>
      <c r="AB30" s="4"/>
      <c r="AC30" s="4"/>
      <c r="AD30" s="4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2"/>
      <c r="AU30" s="182"/>
      <c r="AV30" s="182"/>
      <c r="AW30" s="182"/>
      <c r="AX30" s="182"/>
      <c r="AY30" s="182"/>
      <c r="AZ30" s="182"/>
      <c r="BA30" s="182"/>
      <c r="BB30" s="182"/>
      <c r="BC30" s="182"/>
      <c r="BD30" s="182"/>
      <c r="BE30" s="182"/>
      <c r="BF30" s="182"/>
      <c r="BG30" s="182"/>
      <c r="BH30" s="182"/>
      <c r="BI30" s="182"/>
      <c r="BJ30" s="182"/>
      <c r="BK30" s="182"/>
      <c r="BL30" s="182"/>
      <c r="BM30" s="182"/>
      <c r="BN30" s="182"/>
      <c r="BO30" s="182"/>
      <c r="BP30" s="182"/>
      <c r="BQ30" s="182"/>
      <c r="BR30" s="182"/>
      <c r="BS30" s="182"/>
      <c r="BT30" s="182"/>
      <c r="BU30" s="182"/>
      <c r="BV30" s="68"/>
      <c r="BW30" s="68"/>
      <c r="BX30" s="182"/>
      <c r="BY30" s="182"/>
      <c r="BZ30" s="182"/>
      <c r="CA30" s="182"/>
      <c r="CB30" s="68"/>
      <c r="CC30" s="182"/>
      <c r="CD30" s="182"/>
      <c r="CE30" s="182"/>
      <c r="CF30" s="182"/>
      <c r="CG30" s="182"/>
      <c r="CH30" s="182"/>
      <c r="CI30" s="182"/>
      <c r="CJ30" s="182"/>
      <c r="CK30" s="182"/>
      <c r="CL30" s="182"/>
      <c r="CM30" s="18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</row>
    <row r="31" spans="1:308" s="176" customFormat="1" ht="16.5" customHeight="1" thickBot="1" x14ac:dyDescent="0.25">
      <c r="A31" s="160" t="s">
        <v>335</v>
      </c>
      <c r="B31" s="165">
        <f t="shared" si="0"/>
        <v>715015.5</v>
      </c>
      <c r="C31" s="164"/>
      <c r="D31" s="181">
        <f t="shared" si="1"/>
        <v>48.462375990450553</v>
      </c>
      <c r="E31" s="181">
        <f t="shared" si="4"/>
        <v>51.537624009549447</v>
      </c>
      <c r="F31" s="165">
        <f t="shared" si="2"/>
        <v>346513.5</v>
      </c>
      <c r="G31" s="165">
        <f t="shared" si="3"/>
        <v>368502</v>
      </c>
      <c r="H31" s="164"/>
      <c r="I31" s="169"/>
      <c r="J31" s="177">
        <v>13503</v>
      </c>
      <c r="K31" s="177">
        <v>33728</v>
      </c>
      <c r="L31" s="177">
        <v>23345</v>
      </c>
      <c r="M31" s="177">
        <v>32995</v>
      </c>
      <c r="N31" s="177">
        <v>24866</v>
      </c>
      <c r="O31" s="177">
        <v>22088</v>
      </c>
      <c r="P31" s="177">
        <v>25637</v>
      </c>
      <c r="Q31" s="177">
        <v>29991</v>
      </c>
      <c r="R31" s="182"/>
      <c r="S31" s="182"/>
      <c r="T31" s="182"/>
      <c r="U31" s="182"/>
      <c r="V31" s="182"/>
      <c r="W31" s="182"/>
      <c r="X31" s="182"/>
      <c r="Y31" s="182"/>
      <c r="Z31" s="182"/>
      <c r="AA31" s="68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182"/>
      <c r="AU31" s="182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82"/>
      <c r="BG31" s="182"/>
      <c r="BH31" s="182"/>
      <c r="BI31" s="182"/>
      <c r="BJ31" s="182"/>
      <c r="BK31" s="182"/>
      <c r="BL31" s="182"/>
      <c r="BM31" s="182"/>
      <c r="BN31" s="182"/>
      <c r="BO31" s="182"/>
      <c r="BP31" s="182"/>
      <c r="BQ31" s="182"/>
      <c r="BR31" s="182"/>
      <c r="BS31" s="182"/>
      <c r="BT31" s="182"/>
      <c r="BU31" s="182"/>
      <c r="BV31" s="68"/>
      <c r="BW31" s="182"/>
      <c r="BX31" s="182"/>
      <c r="BY31" s="182"/>
      <c r="BZ31" s="182"/>
      <c r="CA31" s="182"/>
      <c r="CB31" s="182"/>
      <c r="CC31" s="182"/>
      <c r="CD31" s="182"/>
      <c r="CE31" s="182"/>
      <c r="CF31" s="182"/>
      <c r="CG31" s="182"/>
      <c r="CH31" s="182"/>
      <c r="CI31" s="182"/>
      <c r="CJ31" s="182"/>
      <c r="CK31" s="182"/>
      <c r="CL31" s="182"/>
      <c r="CM31" s="18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</row>
    <row r="32" spans="1:308" ht="16" x14ac:dyDescent="0.2">
      <c r="A32" s="20" t="s">
        <v>336</v>
      </c>
      <c r="B32" s="68">
        <f t="shared" si="0"/>
        <v>49099</v>
      </c>
      <c r="C32" s="182"/>
      <c r="D32" s="72">
        <f t="shared" si="1"/>
        <v>49.139493676042285</v>
      </c>
      <c r="E32" s="72">
        <f t="shared" si="4"/>
        <v>50.860506323957722</v>
      </c>
      <c r="F32" s="68">
        <f t="shared" si="2"/>
        <v>24127</v>
      </c>
      <c r="G32" s="68">
        <f t="shared" si="3"/>
        <v>24972</v>
      </c>
      <c r="H32" s="182"/>
      <c r="I32" s="24"/>
      <c r="J32" s="24">
        <v>763</v>
      </c>
      <c r="K32" s="25">
        <v>2123</v>
      </c>
      <c r="L32" s="24">
        <v>890</v>
      </c>
      <c r="M32" s="25">
        <v>1766</v>
      </c>
      <c r="N32" s="25">
        <v>1845</v>
      </c>
      <c r="O32" s="25">
        <v>1687</v>
      </c>
      <c r="P32" s="25">
        <v>2168</v>
      </c>
      <c r="Q32" s="25">
        <v>2784</v>
      </c>
      <c r="R32" s="182"/>
      <c r="S32" s="182"/>
      <c r="T32" s="182"/>
      <c r="U32" s="182"/>
      <c r="V32" s="182"/>
      <c r="W32" s="182"/>
      <c r="X32" s="182"/>
      <c r="Y32" s="182"/>
      <c r="Z32" s="182"/>
      <c r="AA32" s="68"/>
      <c r="AB32" s="182"/>
      <c r="AC32" s="182"/>
      <c r="AD32" s="182"/>
      <c r="AE32" s="182"/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182"/>
      <c r="AR32" s="182"/>
      <c r="AS32" s="182"/>
      <c r="AT32" s="182"/>
      <c r="AU32" s="182"/>
      <c r="AV32" s="182"/>
      <c r="AW32" s="182"/>
      <c r="AX32" s="182"/>
      <c r="AY32" s="182"/>
      <c r="AZ32" s="182"/>
      <c r="BA32" s="182"/>
      <c r="BB32" s="182"/>
      <c r="BC32" s="182"/>
      <c r="BD32" s="182"/>
      <c r="BE32" s="182"/>
      <c r="BF32" s="182"/>
      <c r="BG32" s="182"/>
      <c r="BH32" s="182"/>
      <c r="BI32" s="182"/>
      <c r="BJ32" s="182"/>
      <c r="BK32" s="182"/>
      <c r="BL32" s="182"/>
      <c r="BM32" s="182"/>
      <c r="BN32" s="182"/>
      <c r="BO32" s="182"/>
      <c r="BP32" s="182"/>
      <c r="BQ32" s="182"/>
      <c r="BR32" s="182"/>
      <c r="BS32" s="182"/>
      <c r="BT32" s="182"/>
      <c r="BU32" s="182"/>
      <c r="BV32" s="68"/>
      <c r="BW32" s="68"/>
      <c r="BX32" s="182"/>
      <c r="BY32" s="182"/>
      <c r="BZ32" s="182"/>
      <c r="CA32" s="182"/>
      <c r="CB32" s="182"/>
      <c r="CC32" s="182"/>
      <c r="CD32" s="182"/>
      <c r="CE32" s="182"/>
      <c r="CF32" s="182"/>
      <c r="CG32" s="182"/>
      <c r="CH32" s="182"/>
      <c r="CI32" s="182"/>
      <c r="CJ32" s="182"/>
      <c r="CK32" s="182"/>
      <c r="CL32" s="182"/>
      <c r="CM32" s="18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</row>
    <row r="33" spans="1:308" ht="16" x14ac:dyDescent="0.2">
      <c r="A33" s="13" t="s">
        <v>148</v>
      </c>
      <c r="B33" s="68">
        <f t="shared" si="0"/>
        <v>5554.5</v>
      </c>
      <c r="C33" s="182"/>
      <c r="D33" s="72">
        <f t="shared" si="1"/>
        <v>49.329372580790348</v>
      </c>
      <c r="E33" s="72">
        <f t="shared" si="4"/>
        <v>50.670627419209644</v>
      </c>
      <c r="F33" s="68">
        <f t="shared" si="2"/>
        <v>2740</v>
      </c>
      <c r="G33" s="68">
        <f t="shared" si="3"/>
        <v>2814.5</v>
      </c>
      <c r="H33" s="182"/>
      <c r="I33" s="18"/>
      <c r="J33" s="18">
        <v>67</v>
      </c>
      <c r="K33" s="18">
        <v>172</v>
      </c>
      <c r="L33" s="18">
        <v>96</v>
      </c>
      <c r="M33" s="18">
        <v>243</v>
      </c>
      <c r="N33" s="18">
        <v>206</v>
      </c>
      <c r="O33" s="18">
        <v>208</v>
      </c>
      <c r="P33" s="18">
        <v>186</v>
      </c>
      <c r="Q33" s="18">
        <v>457</v>
      </c>
      <c r="R33" s="182"/>
      <c r="S33" s="182"/>
      <c r="T33" s="182"/>
      <c r="U33" s="182"/>
      <c r="V33" s="182"/>
      <c r="W33" s="182"/>
      <c r="X33" s="182"/>
      <c r="Y33" s="182"/>
      <c r="Z33" s="182"/>
      <c r="AA33" s="68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182"/>
      <c r="AR33" s="182"/>
      <c r="AS33" s="182"/>
      <c r="AT33" s="182"/>
      <c r="AU33" s="182"/>
      <c r="AV33" s="182"/>
      <c r="AW33" s="182"/>
      <c r="AX33" s="182"/>
      <c r="AY33" s="182"/>
      <c r="AZ33" s="182"/>
      <c r="BA33" s="182"/>
      <c r="BB33" s="182"/>
      <c r="BC33" s="182"/>
      <c r="BD33" s="182"/>
      <c r="BE33" s="182"/>
      <c r="BF33" s="182"/>
      <c r="BG33" s="182"/>
      <c r="BH33" s="182"/>
      <c r="BI33" s="182"/>
      <c r="BJ33" s="182"/>
      <c r="BK33" s="182"/>
      <c r="BL33" s="182"/>
      <c r="BM33" s="182"/>
      <c r="BN33" s="182"/>
      <c r="BO33" s="182"/>
      <c r="BP33" s="182"/>
      <c r="BQ33" s="182"/>
      <c r="BR33" s="182"/>
      <c r="BS33" s="182"/>
      <c r="BT33" s="182"/>
      <c r="BU33" s="182"/>
      <c r="BV33" s="68"/>
      <c r="BW33" s="68"/>
      <c r="BX33" s="182"/>
      <c r="BY33" s="182"/>
      <c r="BZ33" s="182"/>
      <c r="CA33" s="182"/>
      <c r="CB33" s="182"/>
      <c r="CC33" s="182"/>
      <c r="CD33" s="182"/>
      <c r="CE33" s="182"/>
      <c r="CF33" s="182"/>
      <c r="CG33" s="182"/>
      <c r="CH33" s="182"/>
      <c r="CI33" s="182"/>
      <c r="CJ33" s="182"/>
      <c r="CK33" s="182"/>
      <c r="CL33" s="182"/>
      <c r="CM33" s="18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</row>
    <row r="34" spans="1:308" ht="16" x14ac:dyDescent="0.2">
      <c r="A34" s="20" t="s">
        <v>287</v>
      </c>
      <c r="B34" s="68">
        <f t="shared" si="0"/>
        <v>18217.5</v>
      </c>
      <c r="C34" s="182"/>
      <c r="D34" s="72">
        <f t="shared" si="1"/>
        <v>47.190887882530532</v>
      </c>
      <c r="E34" s="72">
        <f t="shared" si="4"/>
        <v>52.809112117469468</v>
      </c>
      <c r="F34" s="68">
        <f t="shared" si="2"/>
        <v>8597</v>
      </c>
      <c r="G34" s="68">
        <f t="shared" si="3"/>
        <v>9620.5</v>
      </c>
      <c r="H34" s="182"/>
      <c r="I34" s="24"/>
      <c r="J34" s="24">
        <v>277</v>
      </c>
      <c r="K34" s="24">
        <v>780</v>
      </c>
      <c r="L34" s="24">
        <v>448</v>
      </c>
      <c r="M34" s="24">
        <v>502</v>
      </c>
      <c r="N34" s="24">
        <v>579</v>
      </c>
      <c r="O34" s="24">
        <v>619</v>
      </c>
      <c r="P34" s="24">
        <v>814</v>
      </c>
      <c r="Q34" s="25">
        <v>1178</v>
      </c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182"/>
      <c r="AR34" s="182"/>
      <c r="AS34" s="182"/>
      <c r="AT34" s="182"/>
      <c r="AU34" s="182"/>
      <c r="AV34" s="182"/>
      <c r="AW34" s="182"/>
      <c r="AX34" s="182"/>
      <c r="AY34" s="182"/>
      <c r="AZ34" s="182"/>
      <c r="BA34" s="182"/>
      <c r="BB34" s="182"/>
      <c r="BC34" s="182"/>
      <c r="BD34" s="182"/>
      <c r="BE34" s="182"/>
      <c r="BF34" s="182"/>
      <c r="BG34" s="182"/>
      <c r="BH34" s="182"/>
      <c r="BI34" s="182"/>
      <c r="BJ34" s="182"/>
      <c r="BK34" s="182"/>
      <c r="BL34" s="182"/>
      <c r="BM34" s="182"/>
      <c r="BN34" s="182"/>
      <c r="BO34" s="182"/>
      <c r="BP34" s="182"/>
      <c r="BQ34" s="182"/>
      <c r="BR34" s="182"/>
      <c r="BS34" s="182"/>
      <c r="BT34" s="182"/>
      <c r="BU34" s="182"/>
      <c r="BV34" s="68"/>
      <c r="BW34" s="68"/>
      <c r="BX34" s="182"/>
      <c r="BY34" s="182"/>
      <c r="BZ34" s="182"/>
      <c r="CA34" s="182"/>
      <c r="CB34" s="182"/>
      <c r="CC34" s="182"/>
      <c r="CD34" s="182"/>
      <c r="CE34" s="182"/>
      <c r="CF34" s="182"/>
      <c r="CG34" s="182"/>
      <c r="CH34" s="182"/>
      <c r="CI34" s="182"/>
      <c r="CJ34" s="182"/>
      <c r="CK34" s="182"/>
      <c r="CL34" s="182"/>
      <c r="CM34" s="18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</row>
    <row r="35" spans="1:308" s="176" customFormat="1" ht="16" x14ac:dyDescent="0.2">
      <c r="A35" s="160" t="s">
        <v>342</v>
      </c>
      <c r="B35" s="165">
        <f t="shared" si="0"/>
        <v>33793.5</v>
      </c>
      <c r="C35" s="164"/>
      <c r="D35" s="181">
        <f t="shared" si="1"/>
        <v>48.583307440780032</v>
      </c>
      <c r="E35" s="181">
        <f t="shared" si="4"/>
        <v>51.416692559219968</v>
      </c>
      <c r="F35" s="165">
        <f t="shared" si="2"/>
        <v>16418</v>
      </c>
      <c r="G35" s="165">
        <f t="shared" si="3"/>
        <v>17375.5</v>
      </c>
      <c r="H35" s="164"/>
      <c r="I35" s="169"/>
      <c r="J35" s="169">
        <v>521</v>
      </c>
      <c r="K35" s="177">
        <v>1462</v>
      </c>
      <c r="L35" s="169">
        <v>612</v>
      </c>
      <c r="M35" s="177">
        <v>1153</v>
      </c>
      <c r="N35" s="177">
        <v>1001</v>
      </c>
      <c r="O35" s="177">
        <v>1145</v>
      </c>
      <c r="P35" s="177">
        <v>1470</v>
      </c>
      <c r="Q35" s="177">
        <v>2246</v>
      </c>
      <c r="R35" s="182"/>
      <c r="S35" s="182"/>
      <c r="T35" s="182"/>
      <c r="U35" s="68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182"/>
      <c r="AR35" s="182"/>
      <c r="AS35" s="182"/>
      <c r="AT35" s="182"/>
      <c r="AU35" s="182"/>
      <c r="AV35" s="182"/>
      <c r="AW35" s="182"/>
      <c r="AX35" s="182"/>
      <c r="AY35" s="182"/>
      <c r="AZ35" s="182"/>
      <c r="BA35" s="182"/>
      <c r="BB35" s="182"/>
      <c r="BC35" s="182"/>
      <c r="BD35" s="182"/>
      <c r="BE35" s="182"/>
      <c r="BF35" s="182"/>
      <c r="BG35" s="182"/>
      <c r="BH35" s="182"/>
      <c r="BI35" s="182"/>
      <c r="BJ35" s="182"/>
      <c r="BK35" s="182"/>
      <c r="BL35" s="182"/>
      <c r="BM35" s="68"/>
      <c r="BN35" s="68"/>
      <c r="BO35" s="182"/>
      <c r="BP35" s="182"/>
      <c r="BQ35" s="182"/>
      <c r="BR35" s="182"/>
      <c r="BS35" s="182"/>
      <c r="BT35" s="182"/>
      <c r="BU35" s="182"/>
      <c r="BV35" s="182"/>
      <c r="BW35" s="182"/>
      <c r="BX35" s="182"/>
      <c r="BY35" s="182"/>
      <c r="BZ35" s="182"/>
      <c r="CA35" s="182"/>
      <c r="CB35" s="182"/>
      <c r="CC35" s="182"/>
      <c r="CD35" s="18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</row>
    <row r="36" spans="1:308" ht="16" x14ac:dyDescent="0.2">
      <c r="A36" s="20" t="s">
        <v>338</v>
      </c>
      <c r="B36" s="68">
        <f t="shared" ref="B36" si="5">AVERAGE(B18:C18)</f>
        <v>37655454.5</v>
      </c>
      <c r="C36" s="68"/>
      <c r="D36" s="72">
        <f t="shared" ref="D36" si="6">(F36/B36)*100</f>
        <v>48.727721504463581</v>
      </c>
      <c r="E36" s="72">
        <f t="shared" si="4"/>
        <v>51.272278495536419</v>
      </c>
      <c r="F36" s="68">
        <f t="shared" ref="F36" si="7">AVERAGE(F18:G18)</f>
        <v>18348645</v>
      </c>
      <c r="G36" s="68">
        <f t="shared" si="3"/>
        <v>19306809.5</v>
      </c>
      <c r="H36" s="68"/>
      <c r="I36" s="24"/>
      <c r="J36" s="25">
        <v>635299</v>
      </c>
      <c r="K36" s="25">
        <v>1877246</v>
      </c>
      <c r="L36" s="25">
        <v>1051160</v>
      </c>
      <c r="M36" s="25">
        <v>1475136</v>
      </c>
      <c r="N36" s="25">
        <v>1420198</v>
      </c>
      <c r="O36" s="25">
        <v>1401400</v>
      </c>
      <c r="P36" s="25">
        <v>1321441</v>
      </c>
      <c r="Q36" s="25">
        <v>1540445</v>
      </c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182"/>
      <c r="AR36" s="4"/>
      <c r="AS36" s="182"/>
      <c r="AT36" s="73"/>
      <c r="AU36" s="73"/>
      <c r="AV36" s="73"/>
      <c r="AW36" s="182"/>
      <c r="AX36" s="182"/>
      <c r="AY36" s="182"/>
      <c r="AZ36" s="68"/>
      <c r="BA36" s="182"/>
      <c r="BB36" s="182"/>
      <c r="BC36" s="182"/>
      <c r="BD36" s="182"/>
      <c r="BE36" s="182"/>
      <c r="BF36" s="182"/>
      <c r="BG36" s="182"/>
      <c r="BH36" s="182"/>
      <c r="BI36" s="182"/>
      <c r="BJ36" s="182"/>
      <c r="BK36" s="182"/>
      <c r="BL36" s="182"/>
      <c r="BM36" s="68"/>
      <c r="BN36" s="68"/>
      <c r="BO36" s="68"/>
      <c r="BP36" s="182"/>
      <c r="BQ36" s="182"/>
      <c r="BR36" s="68"/>
      <c r="BS36" s="68"/>
      <c r="BT36" s="182"/>
      <c r="BU36" s="182"/>
      <c r="BV36" s="182"/>
      <c r="BW36" s="182"/>
      <c r="BX36" s="182"/>
      <c r="BY36" s="182"/>
      <c r="BZ36" s="182"/>
      <c r="CA36" s="182"/>
      <c r="CB36" s="182"/>
      <c r="CC36" s="182"/>
      <c r="CD36" s="18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</row>
    <row r="37" spans="1:308" ht="33" thickBot="1" x14ac:dyDescent="0.25">
      <c r="A37" s="13" t="s">
        <v>339</v>
      </c>
      <c r="B37">
        <v>331097593</v>
      </c>
      <c r="C37" s="68"/>
      <c r="D37" s="72">
        <f>(F37/B37)*100</f>
        <v>49.592718724475901</v>
      </c>
      <c r="E37" s="72">
        <f>(G37/B37)*100</f>
        <v>50.407281275524106</v>
      </c>
      <c r="F37" s="53">
        <v>164200298</v>
      </c>
      <c r="G37" s="53">
        <v>166897295</v>
      </c>
      <c r="H37" s="68"/>
      <c r="I37" s="18"/>
      <c r="J37" s="19">
        <v>19004925</v>
      </c>
      <c r="K37" s="19">
        <v>54208780</v>
      </c>
      <c r="L37" s="19">
        <v>31282896</v>
      </c>
      <c r="M37" s="19">
        <v>45388153</v>
      </c>
      <c r="N37" s="19">
        <v>42810359</v>
      </c>
      <c r="O37" s="19">
        <v>41087357</v>
      </c>
      <c r="P37" s="19">
        <v>42577475</v>
      </c>
      <c r="Q37" s="19">
        <v>54737648</v>
      </c>
      <c r="R37" s="68"/>
      <c r="S37" s="68"/>
      <c r="T37" s="68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68"/>
      <c r="AI37" s="182"/>
      <c r="AJ37" s="182"/>
      <c r="AK37" s="182"/>
      <c r="AL37" s="182"/>
      <c r="AM37" s="182"/>
      <c r="AN37" s="182"/>
      <c r="AO37" s="182"/>
      <c r="AP37" s="182"/>
      <c r="AQ37" s="182"/>
      <c r="AR37" s="4"/>
      <c r="AS37" s="182"/>
      <c r="AT37" s="73"/>
      <c r="AU37" s="73"/>
      <c r="AV37" s="73"/>
      <c r="AW37" s="182"/>
      <c r="AX37" s="4"/>
      <c r="AY37" s="182"/>
      <c r="AZ37" s="68"/>
      <c r="BA37" s="182"/>
      <c r="BB37" s="182"/>
      <c r="BC37" s="182"/>
      <c r="BD37" s="182"/>
      <c r="BE37" s="182"/>
      <c r="BF37" s="182"/>
      <c r="BG37" s="182"/>
      <c r="BH37" s="182"/>
      <c r="BI37" s="182"/>
      <c r="BJ37" s="182"/>
      <c r="BK37" s="182"/>
      <c r="BL37" s="182"/>
      <c r="BM37" s="68"/>
      <c r="BN37" s="68"/>
      <c r="BO37" s="182"/>
      <c r="BP37" s="182"/>
      <c r="BQ37" s="182"/>
      <c r="BR37" s="182"/>
      <c r="BS37" s="182"/>
      <c r="BT37" s="182"/>
      <c r="BU37" s="182"/>
      <c r="BV37" s="182"/>
      <c r="BW37" s="182"/>
      <c r="BX37" s="182"/>
      <c r="BY37" s="182"/>
      <c r="BZ37" s="182"/>
      <c r="CA37" s="182"/>
      <c r="CB37" s="182"/>
      <c r="CC37" s="182"/>
      <c r="CD37" s="18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</row>
    <row r="38" spans="1:308" ht="16" thickBot="1" x14ac:dyDescent="0.25"/>
    <row r="39" spans="1:308" outlineLevel="1" x14ac:dyDescent="0.2">
      <c r="Z39" s="257"/>
      <c r="AA39" s="258"/>
    </row>
    <row r="40" spans="1:308" outlineLevel="1" x14ac:dyDescent="0.2">
      <c r="Z40" s="257"/>
      <c r="AA40" s="258"/>
      <c r="AS40" s="185"/>
    </row>
    <row r="41" spans="1:308" ht="16" outlineLevel="1" thickBot="1" x14ac:dyDescent="0.25">
      <c r="Z41" s="257"/>
      <c r="AA41" s="258"/>
      <c r="AS41" s="185"/>
    </row>
    <row r="42" spans="1:308" ht="16" outlineLevel="1" thickBot="1" x14ac:dyDescent="0.25">
      <c r="Z42" s="257"/>
      <c r="AA42" s="259"/>
      <c r="AS42" s="185"/>
    </row>
    <row r="43" spans="1:308" ht="15" customHeight="1" outlineLevel="1" thickBot="1" x14ac:dyDescent="0.25">
      <c r="Z43" s="257"/>
      <c r="AA43" s="258"/>
      <c r="AS43" s="186"/>
    </row>
    <row r="44" spans="1:308" ht="80" customHeight="1" outlineLevel="1" thickBot="1" x14ac:dyDescent="0.25">
      <c r="Z44" s="257"/>
      <c r="AA44" s="258"/>
      <c r="AS44" s="185"/>
    </row>
    <row r="45" spans="1:308" ht="16" outlineLevel="1" thickBot="1" x14ac:dyDescent="0.25">
      <c r="Z45" s="257"/>
      <c r="AA45" s="258"/>
      <c r="AS45" s="185"/>
    </row>
    <row r="46" spans="1:308" ht="16" outlineLevel="1" thickBot="1" x14ac:dyDescent="0.25">
      <c r="Z46" s="257"/>
      <c r="AA46" s="258"/>
      <c r="AS46" s="185"/>
    </row>
    <row r="47" spans="1:308" ht="16" outlineLevel="1" thickBot="1" x14ac:dyDescent="0.25">
      <c r="Z47" s="257"/>
      <c r="AA47" s="258"/>
      <c r="AS47" s="185"/>
    </row>
    <row r="48" spans="1:308" ht="16" outlineLevel="1" thickBot="1" x14ac:dyDescent="0.25">
      <c r="Z48" s="257"/>
      <c r="AA48" s="258"/>
      <c r="AS48" s="185"/>
    </row>
    <row r="49" spans="1:98" ht="16" outlineLevel="1" thickBot="1" x14ac:dyDescent="0.25">
      <c r="Z49" s="257"/>
      <c r="AA49" s="258"/>
      <c r="AS49" s="185"/>
    </row>
    <row r="50" spans="1:98" ht="16" outlineLevel="1" thickBot="1" x14ac:dyDescent="0.25">
      <c r="Z50" s="257"/>
      <c r="AA50" s="258"/>
      <c r="AS50" s="185"/>
    </row>
    <row r="51" spans="1:98" ht="16" outlineLevel="1" thickBot="1" x14ac:dyDescent="0.25">
      <c r="Z51" s="257"/>
      <c r="AA51" s="258"/>
      <c r="AS51" s="185"/>
    </row>
    <row r="52" spans="1:98" ht="16" outlineLevel="1" thickBot="1" x14ac:dyDescent="0.25">
      <c r="Z52" s="257"/>
      <c r="AA52" s="258"/>
      <c r="AS52" s="185"/>
    </row>
    <row r="53" spans="1:98" x14ac:dyDescent="0.2">
      <c r="AS53" s="185"/>
    </row>
    <row r="55" spans="1:98" ht="16" thickBot="1" x14ac:dyDescent="0.25"/>
    <row r="56" spans="1:98" ht="16" customHeight="1" x14ac:dyDescent="0.2">
      <c r="A56" s="268" t="s">
        <v>275</v>
      </c>
      <c r="B56" s="275" t="s">
        <v>2</v>
      </c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75"/>
      <c r="P56" s="275"/>
      <c r="Q56" s="275"/>
      <c r="R56" s="276"/>
      <c r="S56" s="279" t="s">
        <v>3</v>
      </c>
      <c r="T56" s="280"/>
      <c r="U56" s="280"/>
      <c r="V56" s="280"/>
      <c r="W56" s="280"/>
      <c r="X56" s="280"/>
      <c r="Y56" s="280"/>
      <c r="Z56" s="280"/>
      <c r="AA56" s="280"/>
      <c r="AB56" s="280"/>
      <c r="AC56" s="280"/>
      <c r="AD56" s="280"/>
      <c r="AE56" s="280"/>
      <c r="AF56" s="281"/>
      <c r="AG56" s="297" t="s">
        <v>0</v>
      </c>
      <c r="AH56" s="298"/>
      <c r="AI56" s="298"/>
      <c r="AJ56" s="298"/>
      <c r="AK56" s="298"/>
      <c r="AL56" s="298"/>
      <c r="AM56" s="298"/>
      <c r="AN56" s="298"/>
      <c r="AO56" s="298"/>
      <c r="AP56" s="298"/>
      <c r="AQ56" s="298"/>
      <c r="AR56" s="298"/>
      <c r="AS56" s="298"/>
      <c r="AT56" s="298"/>
      <c r="AU56" s="298"/>
      <c r="AV56" s="298"/>
      <c r="AW56" s="298"/>
      <c r="AX56" s="298"/>
      <c r="AY56" s="298"/>
      <c r="AZ56" s="299"/>
      <c r="BA56" s="285" t="s">
        <v>4</v>
      </c>
      <c r="BB56" s="286"/>
      <c r="BC56" s="286"/>
      <c r="BD56" s="286"/>
      <c r="BE56" s="286"/>
      <c r="BF56" s="286"/>
      <c r="BG56" s="286"/>
      <c r="BH56" s="286"/>
      <c r="BI56" s="286"/>
      <c r="BJ56" s="286"/>
      <c r="BK56" s="286"/>
      <c r="BL56" s="286"/>
      <c r="BM56" s="286"/>
      <c r="BN56" s="286"/>
      <c r="BO56" s="287"/>
      <c r="BP56" s="303" t="s">
        <v>1</v>
      </c>
      <c r="BQ56" s="304"/>
      <c r="BR56" s="304"/>
      <c r="BS56" s="304"/>
      <c r="BT56" s="304"/>
      <c r="BU56" s="304"/>
      <c r="BV56" s="304"/>
      <c r="BW56" s="304"/>
      <c r="BX56" s="304"/>
      <c r="BY56" s="304"/>
      <c r="BZ56" s="304"/>
      <c r="CA56" s="304"/>
      <c r="CB56" s="304"/>
      <c r="CC56" s="304"/>
      <c r="CD56" s="304"/>
      <c r="CE56" s="304"/>
      <c r="CF56" s="304"/>
      <c r="CG56" s="304"/>
      <c r="CH56" s="304"/>
      <c r="CI56" s="304"/>
      <c r="CJ56" s="304"/>
      <c r="CK56" s="305"/>
      <c r="CL56" s="291" t="s">
        <v>5</v>
      </c>
      <c r="CM56" s="292"/>
      <c r="CN56" s="292"/>
      <c r="CO56" s="292"/>
      <c r="CP56" s="292"/>
      <c r="CQ56" s="292"/>
      <c r="CR56" s="292"/>
      <c r="CS56" s="292"/>
      <c r="CT56" s="293"/>
    </row>
    <row r="57" spans="1:98" ht="15" customHeight="1" x14ac:dyDescent="0.2">
      <c r="A57" s="269"/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8"/>
      <c r="S57" s="282"/>
      <c r="T57" s="283"/>
      <c r="U57" s="283"/>
      <c r="V57" s="283"/>
      <c r="W57" s="283"/>
      <c r="X57" s="283"/>
      <c r="Y57" s="283"/>
      <c r="Z57" s="283"/>
      <c r="AA57" s="283"/>
      <c r="AB57" s="283"/>
      <c r="AC57" s="283"/>
      <c r="AD57" s="283"/>
      <c r="AE57" s="283"/>
      <c r="AF57" s="284"/>
      <c r="AG57" s="300"/>
      <c r="AH57" s="301"/>
      <c r="AI57" s="301"/>
      <c r="AJ57" s="301"/>
      <c r="AK57" s="301"/>
      <c r="AL57" s="301"/>
      <c r="AM57" s="301"/>
      <c r="AN57" s="301"/>
      <c r="AO57" s="301"/>
      <c r="AP57" s="301"/>
      <c r="AQ57" s="301"/>
      <c r="AR57" s="301"/>
      <c r="AS57" s="301"/>
      <c r="AT57" s="301"/>
      <c r="AU57" s="301"/>
      <c r="AV57" s="301"/>
      <c r="AW57" s="301"/>
      <c r="AX57" s="301"/>
      <c r="AY57" s="301"/>
      <c r="AZ57" s="302"/>
      <c r="BA57" s="288"/>
      <c r="BB57" s="289"/>
      <c r="BC57" s="289"/>
      <c r="BD57" s="289"/>
      <c r="BE57" s="289"/>
      <c r="BF57" s="289"/>
      <c r="BG57" s="289"/>
      <c r="BH57" s="289"/>
      <c r="BI57" s="289"/>
      <c r="BJ57" s="289"/>
      <c r="BK57" s="289"/>
      <c r="BL57" s="289"/>
      <c r="BM57" s="289"/>
      <c r="BN57" s="289"/>
      <c r="BO57" s="290"/>
      <c r="BP57" s="306"/>
      <c r="BQ57" s="307"/>
      <c r="BR57" s="307"/>
      <c r="BS57" s="307"/>
      <c r="BT57" s="307"/>
      <c r="BU57" s="307"/>
      <c r="BV57" s="307"/>
      <c r="BW57" s="307"/>
      <c r="BX57" s="307"/>
      <c r="BY57" s="307"/>
      <c r="BZ57" s="307"/>
      <c r="CA57" s="307"/>
      <c r="CB57" s="307"/>
      <c r="CC57" s="307"/>
      <c r="CD57" s="307"/>
      <c r="CE57" s="307"/>
      <c r="CF57" s="307"/>
      <c r="CG57" s="307"/>
      <c r="CH57" s="307"/>
      <c r="CI57" s="307"/>
      <c r="CJ57" s="307"/>
      <c r="CK57" s="308"/>
      <c r="CL57" s="294"/>
      <c r="CM57" s="295"/>
      <c r="CN57" s="295"/>
      <c r="CO57" s="295"/>
      <c r="CP57" s="295"/>
      <c r="CQ57" s="295"/>
      <c r="CR57" s="295"/>
      <c r="CS57" s="295"/>
      <c r="CT57" s="296"/>
    </row>
    <row r="58" spans="1:98" ht="80" x14ac:dyDescent="0.2">
      <c r="A58" s="221" t="s">
        <v>6</v>
      </c>
      <c r="B58" s="189" t="s">
        <v>7</v>
      </c>
      <c r="C58" s="190" t="s">
        <v>8</v>
      </c>
      <c r="D58" s="190" t="s">
        <v>9</v>
      </c>
      <c r="E58" s="190" t="s">
        <v>10</v>
      </c>
      <c r="F58" s="190" t="s">
        <v>11</v>
      </c>
      <c r="G58" s="190" t="s">
        <v>12</v>
      </c>
      <c r="H58" s="190" t="s">
        <v>13</v>
      </c>
      <c r="I58" s="190" t="s">
        <v>14</v>
      </c>
      <c r="J58" s="190" t="s">
        <v>15</v>
      </c>
      <c r="K58" s="190" t="s">
        <v>16</v>
      </c>
      <c r="L58" s="190" t="s">
        <v>17</v>
      </c>
      <c r="M58" s="190" t="s">
        <v>18</v>
      </c>
      <c r="N58" s="190" t="s">
        <v>19</v>
      </c>
      <c r="O58" s="191" t="s">
        <v>20</v>
      </c>
      <c r="P58" s="190" t="s">
        <v>21</v>
      </c>
      <c r="Q58" s="190" t="s">
        <v>22</v>
      </c>
      <c r="R58" s="190" t="s">
        <v>23</v>
      </c>
      <c r="S58" s="192" t="s">
        <v>24</v>
      </c>
      <c r="T58" s="192" t="s">
        <v>25</v>
      </c>
      <c r="U58" s="192" t="s">
        <v>26</v>
      </c>
      <c r="V58" s="192" t="s">
        <v>27</v>
      </c>
      <c r="W58" s="192" t="s">
        <v>28</v>
      </c>
      <c r="X58" s="192" t="s">
        <v>29</v>
      </c>
      <c r="Y58" s="192" t="s">
        <v>30</v>
      </c>
      <c r="Z58" s="192" t="s">
        <v>31</v>
      </c>
      <c r="AA58" s="192" t="s">
        <v>32</v>
      </c>
      <c r="AB58" s="192" t="s">
        <v>33</v>
      </c>
      <c r="AC58" s="192" t="s">
        <v>34</v>
      </c>
      <c r="AD58" s="192" t="s">
        <v>35</v>
      </c>
      <c r="AE58" s="192" t="s">
        <v>36</v>
      </c>
      <c r="AF58" s="192" t="s">
        <v>37</v>
      </c>
      <c r="AG58" s="193" t="s">
        <v>38</v>
      </c>
      <c r="AH58" s="193" t="s">
        <v>39</v>
      </c>
      <c r="AI58" s="193" t="s">
        <v>40</v>
      </c>
      <c r="AJ58" s="193" t="s">
        <v>41</v>
      </c>
      <c r="AK58" s="193" t="s">
        <v>42</v>
      </c>
      <c r="AL58" s="193" t="s">
        <v>43</v>
      </c>
      <c r="AM58" s="193" t="s">
        <v>44</v>
      </c>
      <c r="AN58" s="193" t="s">
        <v>45</v>
      </c>
      <c r="AO58" s="193" t="s">
        <v>46</v>
      </c>
      <c r="AP58" s="193" t="s">
        <v>47</v>
      </c>
      <c r="AQ58" s="193" t="s">
        <v>48</v>
      </c>
      <c r="AR58" s="193" t="s">
        <v>49</v>
      </c>
      <c r="AS58" s="193" t="s">
        <v>50</v>
      </c>
      <c r="AT58" s="193" t="s">
        <v>51</v>
      </c>
      <c r="AU58" s="193" t="s">
        <v>52</v>
      </c>
      <c r="AV58" s="193" t="s">
        <v>53</v>
      </c>
      <c r="AW58" s="193" t="s">
        <v>54</v>
      </c>
      <c r="AX58" s="193" t="s">
        <v>55</v>
      </c>
      <c r="AY58" s="193" t="s">
        <v>56</v>
      </c>
      <c r="AZ58" s="194" t="s">
        <v>57</v>
      </c>
      <c r="BA58" s="195" t="s">
        <v>58</v>
      </c>
      <c r="BB58" s="195" t="s">
        <v>59</v>
      </c>
      <c r="BC58" s="195" t="s">
        <v>60</v>
      </c>
      <c r="BD58" s="196" t="s">
        <v>61</v>
      </c>
      <c r="BE58" s="195" t="s">
        <v>62</v>
      </c>
      <c r="BF58" s="196" t="s">
        <v>63</v>
      </c>
      <c r="BG58" s="197" t="s">
        <v>64</v>
      </c>
      <c r="BH58" s="198" t="s">
        <v>65</v>
      </c>
      <c r="BI58" s="197" t="s">
        <v>66</v>
      </c>
      <c r="BJ58" s="199" t="s">
        <v>67</v>
      </c>
      <c r="BK58" s="195" t="s">
        <v>68</v>
      </c>
      <c r="BL58" s="195" t="s">
        <v>69</v>
      </c>
      <c r="BM58" s="197" t="s">
        <v>70</v>
      </c>
      <c r="BN58" s="200" t="s">
        <v>71</v>
      </c>
      <c r="BO58" s="198" t="s">
        <v>72</v>
      </c>
      <c r="BP58" s="201" t="s">
        <v>73</v>
      </c>
      <c r="BQ58" s="202" t="s">
        <v>74</v>
      </c>
      <c r="BR58" s="202" t="s">
        <v>75</v>
      </c>
      <c r="BS58" s="202" t="s">
        <v>76</v>
      </c>
      <c r="BT58" s="202" t="s">
        <v>77</v>
      </c>
      <c r="BU58" s="202" t="s">
        <v>78</v>
      </c>
      <c r="BV58" s="202" t="s">
        <v>79</v>
      </c>
      <c r="BW58" s="202" t="s">
        <v>80</v>
      </c>
      <c r="BX58" s="203" t="s">
        <v>81</v>
      </c>
      <c r="BY58" s="202" t="s">
        <v>82</v>
      </c>
      <c r="BZ58" s="202" t="s">
        <v>83</v>
      </c>
      <c r="CA58" s="202" t="s">
        <v>84</v>
      </c>
      <c r="CB58" s="202" t="s">
        <v>85</v>
      </c>
      <c r="CC58" s="202" t="s">
        <v>86</v>
      </c>
      <c r="CD58" s="202" t="s">
        <v>87</v>
      </c>
      <c r="CE58" s="202" t="s">
        <v>88</v>
      </c>
      <c r="CF58" s="202" t="s">
        <v>89</v>
      </c>
      <c r="CG58" s="202" t="s">
        <v>90</v>
      </c>
      <c r="CH58" s="202" t="s">
        <v>91</v>
      </c>
      <c r="CI58" s="202" t="s">
        <v>92</v>
      </c>
      <c r="CJ58" s="202" t="s">
        <v>93</v>
      </c>
      <c r="CK58" s="204" t="s">
        <v>94</v>
      </c>
      <c r="CL58" s="205" t="s">
        <v>95</v>
      </c>
      <c r="CM58" s="206" t="s">
        <v>96</v>
      </c>
      <c r="CN58" s="206" t="s">
        <v>97</v>
      </c>
      <c r="CO58" s="206" t="s">
        <v>98</v>
      </c>
      <c r="CP58" s="206" t="s">
        <v>99</v>
      </c>
      <c r="CQ58" s="206" t="s">
        <v>100</v>
      </c>
      <c r="CR58" s="206" t="s">
        <v>101</v>
      </c>
      <c r="CS58" s="206" t="s">
        <v>102</v>
      </c>
      <c r="CT58" s="222" t="s">
        <v>103</v>
      </c>
    </row>
    <row r="59" spans="1:98" ht="16" x14ac:dyDescent="0.2">
      <c r="A59" s="223" t="s">
        <v>104</v>
      </c>
      <c r="B59" s="224">
        <v>24388</v>
      </c>
      <c r="C59" s="224">
        <v>11795</v>
      </c>
      <c r="D59" s="225">
        <v>0.48359999999999997</v>
      </c>
      <c r="E59" s="224">
        <v>11011</v>
      </c>
      <c r="F59" s="225">
        <v>0.45150000000000001</v>
      </c>
      <c r="G59" s="224">
        <v>152</v>
      </c>
      <c r="H59" s="225">
        <v>6.1999999999999998E-3</v>
      </c>
      <c r="I59" s="224">
        <v>145</v>
      </c>
      <c r="J59" s="225">
        <v>5.8999999999999999E-3</v>
      </c>
      <c r="K59" s="224">
        <v>38</v>
      </c>
      <c r="L59" s="225">
        <v>1.6000000000000001E-3</v>
      </c>
      <c r="M59" s="224">
        <v>899</v>
      </c>
      <c r="N59" s="225">
        <v>3.6900000000000002E-2</v>
      </c>
      <c r="O59" s="226">
        <v>0.752</v>
      </c>
      <c r="P59" s="226">
        <v>0.245</v>
      </c>
      <c r="Q59" s="226">
        <v>0.17599999999999999</v>
      </c>
      <c r="R59" s="154">
        <v>0.52200000000000002</v>
      </c>
      <c r="S59" s="227">
        <v>73.400000000000006</v>
      </c>
      <c r="T59" s="227">
        <v>4.2</v>
      </c>
      <c r="U59" s="227">
        <v>470</v>
      </c>
      <c r="V59" s="227">
        <v>568</v>
      </c>
      <c r="W59" s="227">
        <v>29</v>
      </c>
      <c r="X59" s="227">
        <v>113</v>
      </c>
      <c r="Y59" s="227">
        <v>26</v>
      </c>
      <c r="Z59" s="227">
        <v>14</v>
      </c>
      <c r="AA59" s="228">
        <v>0.2</v>
      </c>
      <c r="AB59" s="228">
        <v>0.18</v>
      </c>
      <c r="AC59" s="228">
        <v>0.14000000000000001</v>
      </c>
      <c r="AD59" s="227">
        <v>103</v>
      </c>
      <c r="AE59" s="227">
        <v>513</v>
      </c>
      <c r="AF59" s="155">
        <v>0.12</v>
      </c>
      <c r="AG59" s="227">
        <v>5.2</v>
      </c>
      <c r="AH59" s="228">
        <v>0.2</v>
      </c>
      <c r="AI59" s="228">
        <v>0.4</v>
      </c>
      <c r="AJ59" s="227">
        <v>2420</v>
      </c>
      <c r="AK59" s="228">
        <v>0.1</v>
      </c>
      <c r="AL59" s="227">
        <v>1774</v>
      </c>
      <c r="AM59" s="228">
        <v>0.08</v>
      </c>
      <c r="AN59" s="228">
        <v>0.4</v>
      </c>
      <c r="AO59" s="227">
        <v>8</v>
      </c>
      <c r="AP59" s="228">
        <v>0.28999999999999998</v>
      </c>
      <c r="AQ59" s="228">
        <v>0.42</v>
      </c>
      <c r="AR59" s="228">
        <v>0.14000000000000001</v>
      </c>
      <c r="AS59" s="227">
        <v>14</v>
      </c>
      <c r="AT59" s="227">
        <v>49</v>
      </c>
      <c r="AU59" s="228">
        <v>0.28999999999999998</v>
      </c>
      <c r="AV59" s="227">
        <v>16</v>
      </c>
      <c r="AW59" s="227">
        <v>23</v>
      </c>
      <c r="AX59" s="227">
        <v>168</v>
      </c>
      <c r="AY59" s="227">
        <v>691.1</v>
      </c>
      <c r="AZ59" s="153">
        <v>29</v>
      </c>
      <c r="BA59" s="227">
        <v>2737</v>
      </c>
      <c r="BB59" s="228">
        <v>0.14000000000000001</v>
      </c>
      <c r="BC59" s="227">
        <v>2427</v>
      </c>
      <c r="BD59" s="228">
        <v>0.18</v>
      </c>
      <c r="BE59" s="227">
        <v>339</v>
      </c>
      <c r="BF59" s="228">
        <v>0.06</v>
      </c>
      <c r="BG59" s="227">
        <v>8</v>
      </c>
      <c r="BH59" s="229" t="s">
        <v>105</v>
      </c>
      <c r="BI59" s="229" t="s">
        <v>106</v>
      </c>
      <c r="BJ59" s="229" t="s">
        <v>107</v>
      </c>
      <c r="BK59" s="227">
        <v>11</v>
      </c>
      <c r="BL59" s="229" t="s">
        <v>108</v>
      </c>
      <c r="BM59" s="227">
        <v>2488</v>
      </c>
      <c r="BN59" s="228">
        <v>0.37</v>
      </c>
      <c r="BO59" s="155">
        <v>0.31</v>
      </c>
      <c r="BP59" s="227">
        <v>13195</v>
      </c>
      <c r="BQ59" s="228">
        <v>0.85</v>
      </c>
      <c r="BR59" s="230">
        <v>320</v>
      </c>
      <c r="BS59" s="230">
        <v>88</v>
      </c>
      <c r="BT59" s="227">
        <v>2795</v>
      </c>
      <c r="BU59" s="228">
        <v>0.53</v>
      </c>
      <c r="BV59" s="227">
        <v>468</v>
      </c>
      <c r="BW59" s="227">
        <v>9019</v>
      </c>
      <c r="BX59" s="226">
        <v>5.1999999999999998E-2</v>
      </c>
      <c r="BY59" s="228">
        <v>0.3</v>
      </c>
      <c r="BZ59" s="231">
        <v>113344</v>
      </c>
      <c r="CA59" s="231">
        <v>18137</v>
      </c>
      <c r="CB59" s="232">
        <v>49431</v>
      </c>
      <c r="CC59" s="233">
        <v>35.99</v>
      </c>
      <c r="CD59" s="227">
        <v>6.2</v>
      </c>
      <c r="CE59" s="227">
        <v>225</v>
      </c>
      <c r="CF59" s="227">
        <v>6087</v>
      </c>
      <c r="CG59" s="227">
        <v>37</v>
      </c>
      <c r="CH59" s="227">
        <v>18</v>
      </c>
      <c r="CI59" s="227">
        <v>7.4</v>
      </c>
      <c r="CJ59" s="227">
        <v>133</v>
      </c>
      <c r="CK59" s="153">
        <v>99</v>
      </c>
      <c r="CL59" s="227">
        <v>9.8000000000000007</v>
      </c>
      <c r="CM59" s="227" t="s">
        <v>109</v>
      </c>
      <c r="CN59" s="228">
        <v>0.12</v>
      </c>
      <c r="CO59" s="227">
        <v>6469</v>
      </c>
      <c r="CP59" s="228">
        <v>0.73</v>
      </c>
      <c r="CQ59" s="227">
        <v>1032</v>
      </c>
      <c r="CR59" s="228">
        <v>0.12</v>
      </c>
      <c r="CS59" s="228">
        <v>0.83</v>
      </c>
      <c r="CT59" s="234">
        <v>0.46</v>
      </c>
    </row>
    <row r="60" spans="1:98" ht="17" x14ac:dyDescent="0.2">
      <c r="A60" s="223" t="s">
        <v>110</v>
      </c>
      <c r="B60" s="224">
        <v>162419</v>
      </c>
      <c r="C60" s="224">
        <v>104867</v>
      </c>
      <c r="D60" s="225">
        <v>0.64570000000000005</v>
      </c>
      <c r="E60" s="224">
        <v>31936</v>
      </c>
      <c r="F60" s="225">
        <v>0.1966</v>
      </c>
      <c r="G60" s="224">
        <v>7548</v>
      </c>
      <c r="H60" s="225">
        <v>4.65E-2</v>
      </c>
      <c r="I60" s="224">
        <v>774</v>
      </c>
      <c r="J60" s="225">
        <v>4.7999999999999996E-3</v>
      </c>
      <c r="K60" s="224">
        <v>347</v>
      </c>
      <c r="L60" s="225">
        <v>2.0999999999999999E-3</v>
      </c>
      <c r="M60" s="224">
        <v>12443</v>
      </c>
      <c r="N60" s="225">
        <v>7.6600000000000001E-2</v>
      </c>
      <c r="O60" s="226">
        <v>0.14899999999999999</v>
      </c>
      <c r="P60" s="226">
        <v>0.246</v>
      </c>
      <c r="Q60" s="226">
        <v>0.152</v>
      </c>
      <c r="R60" s="154">
        <v>0.51</v>
      </c>
      <c r="S60" s="227">
        <v>79</v>
      </c>
      <c r="T60" s="227">
        <v>3.2</v>
      </c>
      <c r="U60" s="227">
        <v>1705</v>
      </c>
      <c r="V60" s="227">
        <v>318</v>
      </c>
      <c r="W60" s="227">
        <v>74</v>
      </c>
      <c r="X60" s="227">
        <v>43</v>
      </c>
      <c r="Y60" s="227">
        <v>76</v>
      </c>
      <c r="Z60" s="227">
        <v>4</v>
      </c>
      <c r="AA60" s="228">
        <v>0.12</v>
      </c>
      <c r="AB60" s="228">
        <v>0.15</v>
      </c>
      <c r="AC60" s="228">
        <v>0.09</v>
      </c>
      <c r="AD60" s="227">
        <v>256</v>
      </c>
      <c r="AE60" s="227">
        <v>194</v>
      </c>
      <c r="AF60" s="155">
        <v>0.08</v>
      </c>
      <c r="AG60" s="227">
        <v>4.8</v>
      </c>
      <c r="AH60" s="228">
        <v>0.13</v>
      </c>
      <c r="AI60" s="228">
        <v>0.34</v>
      </c>
      <c r="AJ60" s="227">
        <v>11250</v>
      </c>
      <c r="AK60" s="228">
        <v>7.0000000000000007E-2</v>
      </c>
      <c r="AL60" s="227">
        <v>7338</v>
      </c>
      <c r="AM60" s="228">
        <v>0.06</v>
      </c>
      <c r="AN60" s="228">
        <v>0.35</v>
      </c>
      <c r="AO60" s="227">
        <v>8.6999999999999993</v>
      </c>
      <c r="AP60" s="228">
        <v>0.2</v>
      </c>
      <c r="AQ60" s="228">
        <v>0.72</v>
      </c>
      <c r="AR60" s="228">
        <v>0.17</v>
      </c>
      <c r="AS60" s="227">
        <v>13</v>
      </c>
      <c r="AT60" s="227">
        <v>63</v>
      </c>
      <c r="AU60" s="228">
        <v>0.21</v>
      </c>
      <c r="AV60" s="227">
        <v>82</v>
      </c>
      <c r="AW60" s="227">
        <v>17</v>
      </c>
      <c r="AX60" s="227">
        <v>507</v>
      </c>
      <c r="AY60" s="227">
        <v>317.60000000000002</v>
      </c>
      <c r="AZ60" s="153">
        <v>9</v>
      </c>
      <c r="BA60" s="227">
        <v>14480</v>
      </c>
      <c r="BB60" s="228">
        <v>0.11</v>
      </c>
      <c r="BC60" s="227">
        <v>12226</v>
      </c>
      <c r="BD60" s="228">
        <v>0.13</v>
      </c>
      <c r="BE60" s="227">
        <v>2471</v>
      </c>
      <c r="BF60" s="228">
        <v>0.06</v>
      </c>
      <c r="BG60" s="227">
        <v>168</v>
      </c>
      <c r="BH60" s="229" t="s">
        <v>111</v>
      </c>
      <c r="BI60" s="235">
        <v>94</v>
      </c>
      <c r="BJ60" s="207" t="s">
        <v>112</v>
      </c>
      <c r="BK60" s="227">
        <v>215</v>
      </c>
      <c r="BL60" s="229" t="s">
        <v>113</v>
      </c>
      <c r="BM60" s="227">
        <v>2199</v>
      </c>
      <c r="BN60" s="228">
        <v>0.46</v>
      </c>
      <c r="BO60" s="155">
        <v>0.45</v>
      </c>
      <c r="BP60" s="227">
        <v>97666</v>
      </c>
      <c r="BQ60" s="228">
        <v>0.93</v>
      </c>
      <c r="BR60" s="230">
        <v>2073</v>
      </c>
      <c r="BS60" s="230">
        <v>92</v>
      </c>
      <c r="BT60" s="227">
        <v>31637</v>
      </c>
      <c r="BU60" s="228">
        <v>0.72</v>
      </c>
      <c r="BV60" s="227">
        <v>2138</v>
      </c>
      <c r="BW60" s="227">
        <v>75917</v>
      </c>
      <c r="BX60" s="226">
        <v>2.8000000000000001E-2</v>
      </c>
      <c r="BY60" s="228">
        <v>0.08</v>
      </c>
      <c r="BZ60" s="231">
        <v>169145</v>
      </c>
      <c r="CA60" s="231">
        <v>42237</v>
      </c>
      <c r="CB60" s="232">
        <v>94224</v>
      </c>
      <c r="CC60" s="233">
        <v>43.37</v>
      </c>
      <c r="CD60" s="227">
        <v>4</v>
      </c>
      <c r="CE60" s="227">
        <v>8790</v>
      </c>
      <c r="CF60" s="227">
        <v>39342</v>
      </c>
      <c r="CG60" s="227">
        <v>22</v>
      </c>
      <c r="CH60" s="227">
        <v>115</v>
      </c>
      <c r="CI60" s="227">
        <v>7.2</v>
      </c>
      <c r="CJ60" s="227">
        <v>466</v>
      </c>
      <c r="CK60" s="153">
        <v>60</v>
      </c>
      <c r="CL60" s="227">
        <v>10.3</v>
      </c>
      <c r="CM60" s="227" t="s">
        <v>109</v>
      </c>
      <c r="CN60" s="228">
        <v>0.08</v>
      </c>
      <c r="CO60" s="227">
        <v>39501</v>
      </c>
      <c r="CP60" s="228">
        <v>0.79</v>
      </c>
      <c r="CQ60" s="227">
        <v>4786</v>
      </c>
      <c r="CR60" s="228">
        <v>0.1</v>
      </c>
      <c r="CS60" s="228">
        <v>0.9</v>
      </c>
      <c r="CT60" s="234">
        <v>0.36</v>
      </c>
    </row>
    <row r="61" spans="1:98" ht="17" x14ac:dyDescent="0.2">
      <c r="A61" s="223" t="s">
        <v>114</v>
      </c>
      <c r="B61" s="224">
        <v>22929</v>
      </c>
      <c r="C61" s="224">
        <v>13392</v>
      </c>
      <c r="D61" s="225">
        <v>0.58409999999999995</v>
      </c>
      <c r="E61" s="224">
        <v>7889</v>
      </c>
      <c r="F61" s="225">
        <v>0.34410000000000002</v>
      </c>
      <c r="G61" s="224">
        <v>173</v>
      </c>
      <c r="H61" s="225">
        <v>7.4999999999999997E-3</v>
      </c>
      <c r="I61" s="224">
        <v>111</v>
      </c>
      <c r="J61" s="225">
        <v>4.7999999999999996E-3</v>
      </c>
      <c r="K61" s="224">
        <v>16</v>
      </c>
      <c r="L61" s="225">
        <v>6.9999999999999999E-4</v>
      </c>
      <c r="M61" s="224">
        <v>1137</v>
      </c>
      <c r="N61" s="225">
        <v>4.9599999999999998E-2</v>
      </c>
      <c r="O61" s="226">
        <v>0.68200000000000005</v>
      </c>
      <c r="P61" s="226">
        <v>0.247</v>
      </c>
      <c r="Q61" s="226">
        <v>0.16400000000000001</v>
      </c>
      <c r="R61" s="154">
        <v>0.49399999999999999</v>
      </c>
      <c r="S61" s="227">
        <v>70.900000000000006</v>
      </c>
      <c r="T61" s="227">
        <v>4.8</v>
      </c>
      <c r="U61" s="227">
        <v>573</v>
      </c>
      <c r="V61" s="227">
        <v>706</v>
      </c>
      <c r="W61" s="227">
        <v>13</v>
      </c>
      <c r="X61" s="227">
        <v>52</v>
      </c>
      <c r="Y61" s="227">
        <v>0</v>
      </c>
      <c r="Z61" s="227">
        <v>0</v>
      </c>
      <c r="AA61" s="228">
        <v>0.24</v>
      </c>
      <c r="AB61" s="228">
        <v>0.19</v>
      </c>
      <c r="AC61" s="228">
        <v>0.14000000000000001</v>
      </c>
      <c r="AD61" s="227">
        <v>61</v>
      </c>
      <c r="AE61" s="227">
        <v>327</v>
      </c>
      <c r="AF61" s="155">
        <v>0.11</v>
      </c>
      <c r="AG61" s="227">
        <v>5.6</v>
      </c>
      <c r="AH61" s="228">
        <v>0.24</v>
      </c>
      <c r="AI61" s="228">
        <v>0.41</v>
      </c>
      <c r="AJ61" s="227">
        <v>3740</v>
      </c>
      <c r="AK61" s="228">
        <v>0.16</v>
      </c>
      <c r="AL61" s="227">
        <v>3324</v>
      </c>
      <c r="AM61" s="228">
        <v>0.15</v>
      </c>
      <c r="AN61" s="228">
        <v>0.38</v>
      </c>
      <c r="AO61" s="227">
        <v>5.8</v>
      </c>
      <c r="AP61" s="228">
        <v>0.33</v>
      </c>
      <c r="AQ61" s="228">
        <v>0.45</v>
      </c>
      <c r="AR61" s="228">
        <v>0.15</v>
      </c>
      <c r="AS61" s="227">
        <v>10</v>
      </c>
      <c r="AT61" s="227">
        <v>37</v>
      </c>
      <c r="AU61" s="228">
        <v>0.27</v>
      </c>
      <c r="AV61" s="227">
        <v>0</v>
      </c>
      <c r="AW61" s="227">
        <v>0</v>
      </c>
      <c r="AX61" s="227">
        <v>163</v>
      </c>
      <c r="AY61" s="227">
        <v>717.6</v>
      </c>
      <c r="AZ61" s="153">
        <v>38</v>
      </c>
      <c r="BA61" s="227">
        <v>3189</v>
      </c>
      <c r="BB61" s="228">
        <v>0.18</v>
      </c>
      <c r="BC61" s="227">
        <v>2802</v>
      </c>
      <c r="BD61" s="228">
        <v>0.23</v>
      </c>
      <c r="BE61" s="227">
        <v>419</v>
      </c>
      <c r="BF61" s="228">
        <v>7.0000000000000007E-2</v>
      </c>
      <c r="BG61" s="227">
        <v>9</v>
      </c>
      <c r="BH61" s="229" t="s">
        <v>115</v>
      </c>
      <c r="BI61" s="229" t="s">
        <v>106</v>
      </c>
      <c r="BJ61" s="208" t="s">
        <v>116</v>
      </c>
      <c r="BK61" s="227">
        <v>23</v>
      </c>
      <c r="BL61" s="229" t="s">
        <v>117</v>
      </c>
      <c r="BM61" s="227">
        <v>4445</v>
      </c>
      <c r="BN61" s="228">
        <v>0.4</v>
      </c>
      <c r="BO61" s="155">
        <v>0.3</v>
      </c>
      <c r="BP61" s="227">
        <v>12086</v>
      </c>
      <c r="BQ61" s="228">
        <v>0.79</v>
      </c>
      <c r="BR61" s="230">
        <v>259</v>
      </c>
      <c r="BS61" s="230">
        <v>89</v>
      </c>
      <c r="BT61" s="227">
        <v>2820</v>
      </c>
      <c r="BU61" s="228">
        <v>0.46</v>
      </c>
      <c r="BV61" s="227">
        <v>355</v>
      </c>
      <c r="BW61" s="227">
        <v>8717</v>
      </c>
      <c r="BX61" s="226">
        <v>4.1000000000000002E-2</v>
      </c>
      <c r="BY61" s="228">
        <v>0.28000000000000003</v>
      </c>
      <c r="BZ61" s="231">
        <v>90254</v>
      </c>
      <c r="CA61" s="231">
        <v>18882</v>
      </c>
      <c r="CB61" s="232">
        <v>46975</v>
      </c>
      <c r="CC61" s="233">
        <v>35.85</v>
      </c>
      <c r="CD61" s="227">
        <v>4.8</v>
      </c>
      <c r="CE61" s="227">
        <v>1644</v>
      </c>
      <c r="CF61" s="227">
        <v>5693</v>
      </c>
      <c r="CG61" s="227">
        <v>29</v>
      </c>
      <c r="CH61" s="227">
        <v>18</v>
      </c>
      <c r="CI61" s="227">
        <v>7.9</v>
      </c>
      <c r="CJ61" s="227">
        <v>87</v>
      </c>
      <c r="CK61" s="153">
        <v>77</v>
      </c>
      <c r="CL61" s="227">
        <v>9.3000000000000007</v>
      </c>
      <c r="CM61" s="227" t="s">
        <v>109</v>
      </c>
      <c r="CN61" s="227">
        <v>155</v>
      </c>
      <c r="CO61" s="227">
        <v>4705</v>
      </c>
      <c r="CP61" s="228">
        <v>0.56999999999999995</v>
      </c>
      <c r="CQ61" s="227">
        <v>744</v>
      </c>
      <c r="CR61" s="228">
        <v>0.1</v>
      </c>
      <c r="CS61" s="228">
        <v>0.81</v>
      </c>
      <c r="CT61" s="234">
        <v>0.4</v>
      </c>
    </row>
    <row r="62" spans="1:98" ht="17" x14ac:dyDescent="0.2">
      <c r="A62" s="223" t="s">
        <v>118</v>
      </c>
      <c r="B62" s="224">
        <v>2939</v>
      </c>
      <c r="C62" s="224">
        <v>2555</v>
      </c>
      <c r="D62" s="225">
        <v>0.86929999999999996</v>
      </c>
      <c r="E62" s="224">
        <v>248</v>
      </c>
      <c r="F62" s="225">
        <v>8.4400000000000003E-2</v>
      </c>
      <c r="G62" s="224">
        <v>8</v>
      </c>
      <c r="H62" s="225">
        <v>2.7000000000000001E-3</v>
      </c>
      <c r="I62" s="224">
        <v>20</v>
      </c>
      <c r="J62" s="225">
        <v>6.7999999999999996E-3</v>
      </c>
      <c r="K62" s="224">
        <v>2</v>
      </c>
      <c r="L62" s="225">
        <v>6.9999999999999999E-4</v>
      </c>
      <c r="M62" s="224">
        <v>56</v>
      </c>
      <c r="N62" s="225">
        <v>1.9099999999999999E-2</v>
      </c>
      <c r="O62" s="226">
        <v>1</v>
      </c>
      <c r="P62" s="226">
        <v>0.21199999999999999</v>
      </c>
      <c r="Q62" s="226">
        <v>0.182</v>
      </c>
      <c r="R62" s="154">
        <v>0.498</v>
      </c>
      <c r="S62" s="227">
        <v>73.400000000000006</v>
      </c>
      <c r="T62" s="227">
        <v>4.4000000000000004</v>
      </c>
      <c r="U62" s="227">
        <v>67</v>
      </c>
      <c r="V62" s="227">
        <v>607</v>
      </c>
      <c r="W62" s="227">
        <v>0</v>
      </c>
      <c r="X62" s="227">
        <v>0</v>
      </c>
      <c r="Y62" s="227">
        <v>0</v>
      </c>
      <c r="Z62" s="227">
        <v>0</v>
      </c>
      <c r="AA62" s="228">
        <v>0.19</v>
      </c>
      <c r="AB62" s="228">
        <v>0.19</v>
      </c>
      <c r="AC62" s="228">
        <v>0.11</v>
      </c>
      <c r="AD62" s="227">
        <v>7</v>
      </c>
      <c r="AE62" s="227">
        <v>279</v>
      </c>
      <c r="AF62" s="155">
        <v>7.0000000000000007E-2</v>
      </c>
      <c r="AG62" s="227">
        <v>5.7</v>
      </c>
      <c r="AH62" s="228">
        <v>0.21</v>
      </c>
      <c r="AI62" s="228">
        <v>0.35</v>
      </c>
      <c r="AJ62" s="227">
        <v>350</v>
      </c>
      <c r="AK62" s="228">
        <v>0.12</v>
      </c>
      <c r="AL62" s="227">
        <v>855</v>
      </c>
      <c r="AM62" s="228">
        <v>0.28000000000000003</v>
      </c>
      <c r="AN62" s="228">
        <v>0.37</v>
      </c>
      <c r="AO62" s="227">
        <v>5.4</v>
      </c>
      <c r="AP62" s="228">
        <v>0.28000000000000003</v>
      </c>
      <c r="AQ62" s="228">
        <v>0</v>
      </c>
      <c r="AR62" s="228">
        <v>0.16</v>
      </c>
      <c r="AS62" s="227">
        <v>1</v>
      </c>
      <c r="AT62" s="227">
        <v>3</v>
      </c>
      <c r="AU62" s="228">
        <v>0.33</v>
      </c>
      <c r="AV62" s="227">
        <v>0</v>
      </c>
      <c r="AW62" s="227">
        <v>0</v>
      </c>
      <c r="AX62" s="227">
        <v>8</v>
      </c>
      <c r="AY62" s="227">
        <v>274.10000000000002</v>
      </c>
      <c r="AZ62" s="153">
        <v>34</v>
      </c>
      <c r="BA62" s="227">
        <v>402</v>
      </c>
      <c r="BB62" s="228">
        <v>0.17</v>
      </c>
      <c r="BC62" s="227">
        <v>350</v>
      </c>
      <c r="BD62" s="228">
        <v>0.2</v>
      </c>
      <c r="BE62" s="227">
        <v>56</v>
      </c>
      <c r="BF62" s="228">
        <v>0.09</v>
      </c>
      <c r="BG62" s="227">
        <v>1</v>
      </c>
      <c r="BH62" s="229" t="s">
        <v>119</v>
      </c>
      <c r="BI62" s="229" t="s">
        <v>120</v>
      </c>
      <c r="BJ62" s="209" t="s">
        <v>121</v>
      </c>
      <c r="BK62" s="227">
        <v>0</v>
      </c>
      <c r="BL62" s="229" t="s">
        <v>120</v>
      </c>
      <c r="BM62" s="227">
        <v>4376</v>
      </c>
      <c r="BN62" s="228">
        <v>0.42</v>
      </c>
      <c r="BO62" s="155">
        <v>0.39</v>
      </c>
      <c r="BP62" s="227">
        <v>1633</v>
      </c>
      <c r="BQ62" s="228">
        <v>0.82</v>
      </c>
      <c r="BR62" s="228">
        <v>0</v>
      </c>
      <c r="BS62" s="228">
        <v>0</v>
      </c>
      <c r="BT62" s="227">
        <v>412</v>
      </c>
      <c r="BU62" s="228">
        <v>0.63</v>
      </c>
      <c r="BV62" s="227">
        <v>38</v>
      </c>
      <c r="BW62" s="227">
        <v>1253</v>
      </c>
      <c r="BX62" s="226">
        <v>0.03</v>
      </c>
      <c r="BY62" s="228">
        <v>0.19</v>
      </c>
      <c r="BZ62" s="231">
        <v>111537</v>
      </c>
      <c r="CA62" s="231">
        <v>21556</v>
      </c>
      <c r="CB62" s="231">
        <v>55539</v>
      </c>
      <c r="CC62" s="233">
        <v>37.01</v>
      </c>
      <c r="CD62" s="227">
        <v>5.2</v>
      </c>
      <c r="CE62" s="227">
        <v>221</v>
      </c>
      <c r="CF62" s="227">
        <v>622</v>
      </c>
      <c r="CG62" s="227">
        <v>36</v>
      </c>
      <c r="CH62" s="227">
        <v>3</v>
      </c>
      <c r="CI62" s="227">
        <v>10.3</v>
      </c>
      <c r="CJ62" s="227">
        <v>20</v>
      </c>
      <c r="CK62" s="153">
        <v>134</v>
      </c>
      <c r="CL62" s="227">
        <v>9.4</v>
      </c>
      <c r="CM62" s="227" t="s">
        <v>122</v>
      </c>
      <c r="CN62" s="228">
        <v>0.12</v>
      </c>
      <c r="CO62" s="227">
        <v>746</v>
      </c>
      <c r="CP62" s="228">
        <v>0.71</v>
      </c>
      <c r="CQ62" s="227">
        <v>56</v>
      </c>
      <c r="CR62" s="228">
        <v>0.06</v>
      </c>
      <c r="CS62" s="228">
        <v>0.62</v>
      </c>
      <c r="CT62" s="236">
        <v>575</v>
      </c>
    </row>
    <row r="63" spans="1:98" ht="17" x14ac:dyDescent="0.2">
      <c r="A63" s="223" t="s">
        <v>123</v>
      </c>
      <c r="B63" s="224">
        <v>15314</v>
      </c>
      <c r="C63" s="224">
        <v>6481</v>
      </c>
      <c r="D63" s="225">
        <v>0.42320000000000002</v>
      </c>
      <c r="E63" s="224">
        <v>7843</v>
      </c>
      <c r="F63" s="225">
        <v>0.5121</v>
      </c>
      <c r="G63" s="224">
        <v>114</v>
      </c>
      <c r="H63" s="225">
        <v>7.4000000000000003E-3</v>
      </c>
      <c r="I63" s="224">
        <v>50</v>
      </c>
      <c r="J63" s="225">
        <v>3.3E-3</v>
      </c>
      <c r="K63" s="224">
        <v>14</v>
      </c>
      <c r="L63" s="225">
        <v>8.9999999999999998E-4</v>
      </c>
      <c r="M63" s="224">
        <v>642</v>
      </c>
      <c r="N63" s="225">
        <v>4.19E-2</v>
      </c>
      <c r="O63" s="226">
        <v>1</v>
      </c>
      <c r="P63" s="226">
        <v>0.22900000000000001</v>
      </c>
      <c r="Q63" s="226">
        <v>0.187</v>
      </c>
      <c r="R63" s="154">
        <v>0.51200000000000001</v>
      </c>
      <c r="S63" s="227">
        <v>70.2</v>
      </c>
      <c r="T63" s="227">
        <v>4.8</v>
      </c>
      <c r="U63" s="227">
        <v>433</v>
      </c>
      <c r="V63" s="227">
        <v>740</v>
      </c>
      <c r="W63" s="227">
        <v>11</v>
      </c>
      <c r="X63" s="227">
        <v>70</v>
      </c>
      <c r="Y63" s="227">
        <v>0</v>
      </c>
      <c r="Z63" s="227">
        <v>0</v>
      </c>
      <c r="AA63" s="228">
        <v>0.25</v>
      </c>
      <c r="AB63" s="228">
        <v>0.19</v>
      </c>
      <c r="AC63" s="228">
        <v>0.15</v>
      </c>
      <c r="AD63" s="227">
        <v>48</v>
      </c>
      <c r="AE63" s="227">
        <v>370</v>
      </c>
      <c r="AF63" s="155">
        <v>0.12</v>
      </c>
      <c r="AG63" s="227">
        <v>5.7</v>
      </c>
      <c r="AH63" s="228">
        <v>0.23</v>
      </c>
      <c r="AI63" s="228">
        <v>0.44</v>
      </c>
      <c r="AJ63" s="227">
        <v>1690</v>
      </c>
      <c r="AK63" s="228">
        <v>0.11</v>
      </c>
      <c r="AL63" s="227">
        <v>55</v>
      </c>
      <c r="AM63" s="228">
        <v>0</v>
      </c>
      <c r="AN63" s="228">
        <v>0.41</v>
      </c>
      <c r="AO63" s="227">
        <v>8.6</v>
      </c>
      <c r="AP63" s="228">
        <v>0.34</v>
      </c>
      <c r="AQ63" s="228">
        <v>0.51</v>
      </c>
      <c r="AR63" s="228">
        <v>0.13</v>
      </c>
      <c r="AS63" s="227">
        <v>2</v>
      </c>
      <c r="AT63" s="227">
        <v>20</v>
      </c>
      <c r="AU63" s="228">
        <v>0.1</v>
      </c>
      <c r="AV63" s="227">
        <v>0</v>
      </c>
      <c r="AW63" s="227">
        <v>0</v>
      </c>
      <c r="AX63" s="227">
        <v>102</v>
      </c>
      <c r="AY63" s="227">
        <v>657</v>
      </c>
      <c r="AZ63" s="153">
        <v>30</v>
      </c>
      <c r="BA63" s="227">
        <v>2244</v>
      </c>
      <c r="BB63" s="228">
        <v>0.19</v>
      </c>
      <c r="BC63" s="227">
        <v>1970</v>
      </c>
      <c r="BD63" s="228">
        <v>0.23</v>
      </c>
      <c r="BE63" s="227">
        <v>294</v>
      </c>
      <c r="BF63" s="228">
        <v>0.08</v>
      </c>
      <c r="BG63" s="227">
        <v>2</v>
      </c>
      <c r="BH63" s="229" t="s">
        <v>124</v>
      </c>
      <c r="BI63" s="229" t="s">
        <v>106</v>
      </c>
      <c r="BJ63" s="209" t="s">
        <v>125</v>
      </c>
      <c r="BK63" s="227">
        <v>7</v>
      </c>
      <c r="BL63" s="229" t="s">
        <v>126</v>
      </c>
      <c r="BM63" s="227">
        <v>3043</v>
      </c>
      <c r="BN63" s="228">
        <v>0.37</v>
      </c>
      <c r="BO63" s="155">
        <v>0.27</v>
      </c>
      <c r="BP63" s="227">
        <v>8486</v>
      </c>
      <c r="BQ63" s="228">
        <v>0.8</v>
      </c>
      <c r="BR63" s="227">
        <v>205</v>
      </c>
      <c r="BS63" s="227">
        <v>90</v>
      </c>
      <c r="BT63" s="227">
        <v>1438</v>
      </c>
      <c r="BU63" s="228">
        <v>0.38</v>
      </c>
      <c r="BV63" s="227">
        <v>264</v>
      </c>
      <c r="BW63" s="227">
        <v>6627</v>
      </c>
      <c r="BX63" s="226">
        <v>0.04</v>
      </c>
      <c r="BY63" s="228">
        <v>0.34</v>
      </c>
      <c r="BZ63" s="231">
        <v>105648</v>
      </c>
      <c r="CA63" s="231">
        <v>18070</v>
      </c>
      <c r="CB63" s="232">
        <v>44459</v>
      </c>
      <c r="CC63" s="233">
        <v>35.6</v>
      </c>
      <c r="CD63" s="227">
        <v>5.8</v>
      </c>
      <c r="CE63" s="227">
        <v>1468</v>
      </c>
      <c r="CF63" s="227">
        <v>3630</v>
      </c>
      <c r="CG63" s="227">
        <v>40</v>
      </c>
      <c r="CH63" s="227">
        <v>17</v>
      </c>
      <c r="CI63" s="227">
        <v>11</v>
      </c>
      <c r="CJ63" s="227">
        <v>76</v>
      </c>
      <c r="CK63" s="153">
        <v>98</v>
      </c>
      <c r="CL63" s="227">
        <v>9.8000000000000007</v>
      </c>
      <c r="CM63" s="227" t="s">
        <v>109</v>
      </c>
      <c r="CN63" s="228">
        <v>0.15</v>
      </c>
      <c r="CO63" s="227">
        <v>3904</v>
      </c>
      <c r="CP63" s="228">
        <v>0.67</v>
      </c>
      <c r="CQ63" s="227">
        <v>735</v>
      </c>
      <c r="CR63" s="228">
        <v>0.13</v>
      </c>
      <c r="CS63" s="228">
        <v>0.79</v>
      </c>
      <c r="CT63" s="234">
        <v>0.51</v>
      </c>
    </row>
    <row r="64" spans="1:98" ht="17" x14ac:dyDescent="0.2">
      <c r="A64" s="223" t="s">
        <v>127</v>
      </c>
      <c r="B64" s="224">
        <v>8689</v>
      </c>
      <c r="C64" s="224">
        <v>4342</v>
      </c>
      <c r="D64" s="225">
        <v>0.49969999999999998</v>
      </c>
      <c r="E64" s="224">
        <v>3483</v>
      </c>
      <c r="F64" s="225">
        <v>0.40089999999999998</v>
      </c>
      <c r="G64" s="224">
        <v>121</v>
      </c>
      <c r="H64" s="225">
        <v>1.3899999999999999E-2</v>
      </c>
      <c r="I64" s="224">
        <v>49</v>
      </c>
      <c r="J64" s="225">
        <v>5.5999999999999999E-3</v>
      </c>
      <c r="K64" s="224">
        <v>20</v>
      </c>
      <c r="L64" s="225">
        <v>2.3E-3</v>
      </c>
      <c r="M64" s="224">
        <v>614</v>
      </c>
      <c r="N64" s="225">
        <v>7.0699999999999999E-2</v>
      </c>
      <c r="O64" s="226">
        <v>1</v>
      </c>
      <c r="P64" s="226">
        <v>0.19700000000000001</v>
      </c>
      <c r="Q64" s="226">
        <v>0.17199999999999999</v>
      </c>
      <c r="R64" s="154">
        <v>0.46800000000000003</v>
      </c>
      <c r="S64" s="227">
        <v>73</v>
      </c>
      <c r="T64" s="227">
        <v>5</v>
      </c>
      <c r="U64" s="227">
        <v>204</v>
      </c>
      <c r="V64" s="227">
        <v>633</v>
      </c>
      <c r="W64" s="227">
        <v>0</v>
      </c>
      <c r="X64" s="227">
        <v>0</v>
      </c>
      <c r="Y64" s="227">
        <v>0</v>
      </c>
      <c r="Z64" s="227">
        <v>0</v>
      </c>
      <c r="AA64" s="228">
        <v>0.27</v>
      </c>
      <c r="AB64" s="228">
        <v>0.2</v>
      </c>
      <c r="AC64" s="228">
        <v>0.16</v>
      </c>
      <c r="AD64" s="227">
        <v>29</v>
      </c>
      <c r="AE64" s="227">
        <v>391</v>
      </c>
      <c r="AF64" s="155">
        <v>0.14000000000000001</v>
      </c>
      <c r="AG64" s="227">
        <v>5.8</v>
      </c>
      <c r="AH64" s="228">
        <v>0.26</v>
      </c>
      <c r="AI64" s="228">
        <v>0.43</v>
      </c>
      <c r="AJ64" s="227">
        <v>1290</v>
      </c>
      <c r="AK64" s="228">
        <v>0.15</v>
      </c>
      <c r="AL64" s="227">
        <v>48</v>
      </c>
      <c r="AM64" s="228">
        <v>0.01</v>
      </c>
      <c r="AN64" s="228">
        <v>0.43</v>
      </c>
      <c r="AO64" s="227">
        <v>7.6</v>
      </c>
      <c r="AP64" s="228">
        <v>0.36</v>
      </c>
      <c r="AQ64" s="228">
        <v>0.62</v>
      </c>
      <c r="AR64" s="228">
        <v>0.14000000000000001</v>
      </c>
      <c r="AS64" s="227">
        <v>6</v>
      </c>
      <c r="AT64" s="227">
        <v>12</v>
      </c>
      <c r="AU64" s="228">
        <v>0.5</v>
      </c>
      <c r="AV64" s="227">
        <v>0</v>
      </c>
      <c r="AW64" s="227">
        <v>0</v>
      </c>
      <c r="AX64" s="227">
        <v>38</v>
      </c>
      <c r="AY64" s="227">
        <v>439.9</v>
      </c>
      <c r="AZ64" s="153">
        <v>31</v>
      </c>
      <c r="BA64" s="227">
        <v>1064</v>
      </c>
      <c r="BB64" s="228">
        <v>0.18</v>
      </c>
      <c r="BC64" s="227">
        <v>953</v>
      </c>
      <c r="BD64" s="228">
        <v>0.22</v>
      </c>
      <c r="BE64" s="227">
        <v>120</v>
      </c>
      <c r="BF64" s="228">
        <v>7.0000000000000007E-2</v>
      </c>
      <c r="BG64" s="227">
        <v>3</v>
      </c>
      <c r="BH64" s="229" t="s">
        <v>128</v>
      </c>
      <c r="BI64" s="229" t="s">
        <v>120</v>
      </c>
      <c r="BJ64" s="209" t="s">
        <v>120</v>
      </c>
      <c r="BK64" s="227">
        <v>1</v>
      </c>
      <c r="BL64" s="229" t="s">
        <v>129</v>
      </c>
      <c r="BM64" s="227">
        <v>4413</v>
      </c>
      <c r="BN64" s="228">
        <v>0.35</v>
      </c>
      <c r="BO64" s="155">
        <v>0.28000000000000003</v>
      </c>
      <c r="BP64" s="227">
        <v>5388</v>
      </c>
      <c r="BQ64" s="228">
        <v>0.82</v>
      </c>
      <c r="BR64" s="227">
        <v>82</v>
      </c>
      <c r="BS64" s="227">
        <v>83</v>
      </c>
      <c r="BT64" s="227">
        <v>1048</v>
      </c>
      <c r="BU64" s="228">
        <v>0.46</v>
      </c>
      <c r="BV64" s="227">
        <v>141</v>
      </c>
      <c r="BW64" s="227">
        <v>3324</v>
      </c>
      <c r="BX64" s="226">
        <v>4.2000000000000003E-2</v>
      </c>
      <c r="BY64" s="228">
        <v>0.35</v>
      </c>
      <c r="BZ64" s="231">
        <v>80820</v>
      </c>
      <c r="CA64" s="231">
        <v>15619</v>
      </c>
      <c r="CB64" s="232">
        <v>41830</v>
      </c>
      <c r="CC64" s="233">
        <v>35.07</v>
      </c>
      <c r="CD64" s="227">
        <v>5.2</v>
      </c>
      <c r="CE64" s="227">
        <v>792</v>
      </c>
      <c r="CF64" s="227">
        <v>1623</v>
      </c>
      <c r="CG64" s="227">
        <v>49</v>
      </c>
      <c r="CH64" s="227">
        <v>9</v>
      </c>
      <c r="CI64" s="227">
        <v>10.4</v>
      </c>
      <c r="CJ64" s="227">
        <v>42</v>
      </c>
      <c r="CK64" s="153">
        <v>97</v>
      </c>
      <c r="CL64" s="227">
        <v>9.1</v>
      </c>
      <c r="CM64" s="227" t="s">
        <v>109</v>
      </c>
      <c r="CN64" s="228">
        <v>0.2</v>
      </c>
      <c r="CO64" s="227">
        <v>2729</v>
      </c>
      <c r="CP64" s="228">
        <v>0.83</v>
      </c>
      <c r="CQ64" s="227">
        <v>522</v>
      </c>
      <c r="CR64" s="228">
        <v>0.16</v>
      </c>
      <c r="CS64" s="228">
        <v>0.67</v>
      </c>
      <c r="CT64" s="234">
        <v>0.31</v>
      </c>
    </row>
    <row r="65" spans="1:98" ht="17" x14ac:dyDescent="0.2">
      <c r="A65" s="223" t="s">
        <v>130</v>
      </c>
      <c r="B65" s="224">
        <v>7841</v>
      </c>
      <c r="C65" s="224">
        <v>5418</v>
      </c>
      <c r="D65" s="225">
        <v>0.69099999999999995</v>
      </c>
      <c r="E65" s="224">
        <v>2035</v>
      </c>
      <c r="F65" s="225">
        <v>0.25950000000000001</v>
      </c>
      <c r="G65" s="224">
        <v>43</v>
      </c>
      <c r="H65" s="225">
        <v>5.4999999999999997E-3</v>
      </c>
      <c r="I65" s="224">
        <v>41</v>
      </c>
      <c r="J65" s="225">
        <v>5.1999999999999998E-3</v>
      </c>
      <c r="K65" s="224">
        <v>4</v>
      </c>
      <c r="L65" s="225">
        <v>5.0000000000000001E-4</v>
      </c>
      <c r="M65" s="224">
        <v>176</v>
      </c>
      <c r="N65" s="225">
        <v>2.24E-2</v>
      </c>
      <c r="O65" s="226">
        <v>1</v>
      </c>
      <c r="P65" s="226">
        <v>0.19</v>
      </c>
      <c r="Q65" s="226">
        <v>0.25600000000000001</v>
      </c>
      <c r="R65" s="154">
        <v>0.52</v>
      </c>
      <c r="S65" s="227">
        <v>75.099999999999994</v>
      </c>
      <c r="T65" s="227">
        <v>4.5</v>
      </c>
      <c r="U65" s="227">
        <v>174</v>
      </c>
      <c r="V65" s="227">
        <v>510</v>
      </c>
      <c r="W65" s="227">
        <v>0</v>
      </c>
      <c r="X65" s="227">
        <v>0</v>
      </c>
      <c r="Y65" s="227">
        <v>0</v>
      </c>
      <c r="Z65" s="227">
        <v>0</v>
      </c>
      <c r="AA65" s="228">
        <v>0.21</v>
      </c>
      <c r="AB65" s="228">
        <v>0.19</v>
      </c>
      <c r="AC65" s="228">
        <v>0.13</v>
      </c>
      <c r="AD65" s="227">
        <v>20</v>
      </c>
      <c r="AE65" s="227">
        <v>298</v>
      </c>
      <c r="AF65" s="155">
        <v>0.09</v>
      </c>
      <c r="AG65" s="227">
        <v>5.5</v>
      </c>
      <c r="AH65" s="228">
        <v>0.21</v>
      </c>
      <c r="AI65" s="228">
        <v>0.39</v>
      </c>
      <c r="AJ65" s="227">
        <v>1010</v>
      </c>
      <c r="AK65" s="228">
        <v>0.13</v>
      </c>
      <c r="AL65" s="227">
        <v>151</v>
      </c>
      <c r="AM65" s="228">
        <v>0.02</v>
      </c>
      <c r="AN65" s="228">
        <v>0.38</v>
      </c>
      <c r="AO65" s="227">
        <v>7.9</v>
      </c>
      <c r="AP65" s="228">
        <v>0.3</v>
      </c>
      <c r="AQ65" s="228">
        <v>0.37</v>
      </c>
      <c r="AR65" s="228">
        <v>0.14000000000000001</v>
      </c>
      <c r="AS65" s="227">
        <v>4</v>
      </c>
      <c r="AT65" s="227">
        <v>13</v>
      </c>
      <c r="AU65" s="228">
        <v>0.31</v>
      </c>
      <c r="AV65" s="227">
        <v>0</v>
      </c>
      <c r="AW65" s="227">
        <v>0</v>
      </c>
      <c r="AX65" s="227">
        <v>23</v>
      </c>
      <c r="AY65" s="227">
        <v>296.8</v>
      </c>
      <c r="AZ65" s="153">
        <v>14</v>
      </c>
      <c r="BA65" s="227">
        <v>1259</v>
      </c>
      <c r="BB65" s="228">
        <v>0.22</v>
      </c>
      <c r="BC65" s="227">
        <v>1090</v>
      </c>
      <c r="BD65" s="228">
        <v>0.25</v>
      </c>
      <c r="BE65" s="227">
        <v>181</v>
      </c>
      <c r="BF65" s="228">
        <v>0.12</v>
      </c>
      <c r="BG65" s="227">
        <v>2</v>
      </c>
      <c r="BH65" s="229" t="s">
        <v>131</v>
      </c>
      <c r="BI65" s="229" t="s">
        <v>120</v>
      </c>
      <c r="BJ65" s="209" t="s">
        <v>120</v>
      </c>
      <c r="BK65" s="227">
        <v>3</v>
      </c>
      <c r="BL65" s="229" t="s">
        <v>132</v>
      </c>
      <c r="BM65" s="227">
        <v>2295</v>
      </c>
      <c r="BN65" s="228">
        <v>0.43</v>
      </c>
      <c r="BO65" s="155">
        <v>0.44</v>
      </c>
      <c r="BP65" s="227">
        <v>4968</v>
      </c>
      <c r="BQ65" s="228">
        <v>0.87</v>
      </c>
      <c r="BR65" s="227">
        <v>74</v>
      </c>
      <c r="BS65" s="227">
        <v>88</v>
      </c>
      <c r="BT65" s="227">
        <v>776</v>
      </c>
      <c r="BU65" s="228">
        <v>0.48</v>
      </c>
      <c r="BV65" s="227">
        <v>122</v>
      </c>
      <c r="BW65" s="227">
        <v>3511</v>
      </c>
      <c r="BX65" s="226">
        <v>3.5000000000000003E-2</v>
      </c>
      <c r="BY65" s="228">
        <v>0.25</v>
      </c>
      <c r="BZ65" s="231">
        <v>108194</v>
      </c>
      <c r="CA65" s="231">
        <v>22417</v>
      </c>
      <c r="CB65" s="232">
        <v>69776</v>
      </c>
      <c r="CC65" s="233">
        <v>36.76</v>
      </c>
      <c r="CD65" s="227">
        <v>4.8</v>
      </c>
      <c r="CE65" s="227">
        <v>411</v>
      </c>
      <c r="CF65" s="227">
        <v>1491</v>
      </c>
      <c r="CG65" s="227">
        <v>28</v>
      </c>
      <c r="CH65" s="227">
        <v>12</v>
      </c>
      <c r="CI65" s="227">
        <v>15.5</v>
      </c>
      <c r="CJ65" s="227">
        <v>34</v>
      </c>
      <c r="CK65" s="153">
        <v>86</v>
      </c>
      <c r="CL65" s="227">
        <v>9.4</v>
      </c>
      <c r="CM65" s="227" t="s">
        <v>109</v>
      </c>
      <c r="CN65" s="228">
        <v>0.15</v>
      </c>
      <c r="CO65" s="227">
        <v>2289</v>
      </c>
      <c r="CP65" s="228">
        <v>0.76</v>
      </c>
      <c r="CQ65" s="227">
        <v>351</v>
      </c>
      <c r="CR65" s="228">
        <v>0.13</v>
      </c>
      <c r="CS65" s="228">
        <v>0.55000000000000004</v>
      </c>
      <c r="CT65" s="234">
        <v>0.43</v>
      </c>
    </row>
    <row r="66" spans="1:98" ht="17" x14ac:dyDescent="0.2">
      <c r="A66" s="223" t="s">
        <v>133</v>
      </c>
      <c r="B66" s="224">
        <v>21713</v>
      </c>
      <c r="C66" s="224">
        <v>11514</v>
      </c>
      <c r="D66" s="225">
        <v>0.53029999999999999</v>
      </c>
      <c r="E66" s="224">
        <v>8772</v>
      </c>
      <c r="F66" s="225">
        <v>0.40400000000000003</v>
      </c>
      <c r="G66" s="224">
        <v>135</v>
      </c>
      <c r="H66" s="225">
        <v>6.1999999999999998E-3</v>
      </c>
      <c r="I66" s="224">
        <v>94</v>
      </c>
      <c r="J66" s="225">
        <v>4.3E-3</v>
      </c>
      <c r="K66" s="224">
        <v>23</v>
      </c>
      <c r="L66" s="225">
        <v>1.1000000000000001E-3</v>
      </c>
      <c r="M66" s="224">
        <v>770</v>
      </c>
      <c r="N66" s="225">
        <v>3.5499999999999997E-2</v>
      </c>
      <c r="O66" s="226">
        <v>0.59399999999999997</v>
      </c>
      <c r="P66" s="226">
        <v>0.247</v>
      </c>
      <c r="Q66" s="226">
        <v>0.187</v>
      </c>
      <c r="R66" s="154">
        <v>0.52800000000000002</v>
      </c>
      <c r="S66" s="227">
        <v>71.900000000000006</v>
      </c>
      <c r="T66" s="227">
        <v>4.3</v>
      </c>
      <c r="U66" s="227">
        <v>487</v>
      </c>
      <c r="V66" s="227">
        <v>633</v>
      </c>
      <c r="W66" s="227">
        <v>25</v>
      </c>
      <c r="X66" s="227">
        <v>107</v>
      </c>
      <c r="Y66" s="227">
        <v>20</v>
      </c>
      <c r="Z66" s="227">
        <v>11</v>
      </c>
      <c r="AA66" s="228">
        <v>0.21</v>
      </c>
      <c r="AB66" s="228">
        <v>0.18</v>
      </c>
      <c r="AC66" s="228">
        <v>0.13</v>
      </c>
      <c r="AD66" s="227">
        <v>52</v>
      </c>
      <c r="AE66" s="227">
        <v>291</v>
      </c>
      <c r="AF66" s="155">
        <v>0.13</v>
      </c>
      <c r="AG66" s="227">
        <v>5.6</v>
      </c>
      <c r="AH66" s="228">
        <v>0.21</v>
      </c>
      <c r="AI66" s="228">
        <v>0.39</v>
      </c>
      <c r="AJ66" s="227">
        <v>2260</v>
      </c>
      <c r="AK66" s="228">
        <v>0.1</v>
      </c>
      <c r="AL66" s="227">
        <v>37</v>
      </c>
      <c r="AM66" s="228">
        <v>0</v>
      </c>
      <c r="AN66" s="228">
        <v>0.38</v>
      </c>
      <c r="AO66" s="227">
        <v>8.6</v>
      </c>
      <c r="AP66" s="228">
        <v>0.3</v>
      </c>
      <c r="AQ66" s="228">
        <v>0.51</v>
      </c>
      <c r="AR66" s="228">
        <v>0.14000000000000001</v>
      </c>
      <c r="AS66" s="227">
        <v>4</v>
      </c>
      <c r="AT66" s="227">
        <v>29</v>
      </c>
      <c r="AU66" s="228">
        <v>0.14000000000000001</v>
      </c>
      <c r="AV66" s="227">
        <v>18</v>
      </c>
      <c r="AW66" s="227">
        <v>28</v>
      </c>
      <c r="AX66" s="227">
        <v>173</v>
      </c>
      <c r="AY66" s="227">
        <v>799.7</v>
      </c>
      <c r="AZ66" s="153">
        <v>35</v>
      </c>
      <c r="BA66" s="227">
        <v>2489</v>
      </c>
      <c r="BB66" s="228">
        <v>0.15</v>
      </c>
      <c r="BC66" s="227">
        <v>2172</v>
      </c>
      <c r="BD66" s="228">
        <v>0.18</v>
      </c>
      <c r="BE66" s="227">
        <v>345</v>
      </c>
      <c r="BF66" s="228">
        <v>0.06</v>
      </c>
      <c r="BG66" s="227">
        <v>11</v>
      </c>
      <c r="BH66" s="229" t="s">
        <v>134</v>
      </c>
      <c r="BI66" s="229" t="s">
        <v>135</v>
      </c>
      <c r="BJ66" s="209" t="s">
        <v>136</v>
      </c>
      <c r="BK66" s="227">
        <v>15</v>
      </c>
      <c r="BL66" s="229" t="s">
        <v>137</v>
      </c>
      <c r="BM66" s="227">
        <v>3478</v>
      </c>
      <c r="BN66" s="228">
        <v>0.34</v>
      </c>
      <c r="BO66" s="155">
        <v>0.45</v>
      </c>
      <c r="BP66" s="227">
        <v>12578</v>
      </c>
      <c r="BQ66" s="228">
        <v>0.86</v>
      </c>
      <c r="BR66" s="227">
        <v>233</v>
      </c>
      <c r="BS66" s="227">
        <v>83</v>
      </c>
      <c r="BT66" s="227">
        <v>2232</v>
      </c>
      <c r="BU66" s="228">
        <v>0.42</v>
      </c>
      <c r="BV66" s="227">
        <v>372</v>
      </c>
      <c r="BW66" s="227">
        <v>8409</v>
      </c>
      <c r="BX66" s="226">
        <v>4.3999999999999997E-2</v>
      </c>
      <c r="BY66" s="228">
        <v>0.26</v>
      </c>
      <c r="BZ66" s="231">
        <v>108966</v>
      </c>
      <c r="CA66" s="231">
        <v>23918</v>
      </c>
      <c r="CB66" s="232">
        <v>50593</v>
      </c>
      <c r="CC66" s="233">
        <v>38.119999999999997</v>
      </c>
      <c r="CD66" s="227">
        <v>4.5999999999999996</v>
      </c>
      <c r="CE66" s="227">
        <v>2804</v>
      </c>
      <c r="CF66" s="227">
        <v>5402</v>
      </c>
      <c r="CG66" s="227">
        <v>52</v>
      </c>
      <c r="CH66" s="227">
        <v>25</v>
      </c>
      <c r="CI66" s="227">
        <v>11.6</v>
      </c>
      <c r="CJ66" s="227">
        <v>109</v>
      </c>
      <c r="CK66" s="153">
        <v>102</v>
      </c>
      <c r="CL66" s="227">
        <v>9.8000000000000007</v>
      </c>
      <c r="CM66" s="227" t="s">
        <v>122</v>
      </c>
      <c r="CN66" s="228">
        <v>0.12</v>
      </c>
      <c r="CO66" s="227">
        <v>5408</v>
      </c>
      <c r="CP66" s="228">
        <v>0.66</v>
      </c>
      <c r="CQ66" s="227">
        <v>1132</v>
      </c>
      <c r="CR66" s="228">
        <v>0.14000000000000001</v>
      </c>
      <c r="CS66" s="228">
        <v>0.75</v>
      </c>
      <c r="CT66" s="234">
        <v>0.34</v>
      </c>
    </row>
    <row r="67" spans="1:98" ht="16" x14ac:dyDescent="0.2">
      <c r="A67" s="223" t="s">
        <v>138</v>
      </c>
      <c r="B67" s="224">
        <v>206640</v>
      </c>
      <c r="C67" s="224">
        <v>66521</v>
      </c>
      <c r="D67" s="225">
        <v>0.32190000000000002</v>
      </c>
      <c r="E67" s="224">
        <v>119137</v>
      </c>
      <c r="F67" s="225">
        <v>0.57650000000000001</v>
      </c>
      <c r="G67" s="224">
        <v>3662</v>
      </c>
      <c r="H67" s="225">
        <v>1.77E-2</v>
      </c>
      <c r="I67" s="224">
        <v>843</v>
      </c>
      <c r="J67" s="225">
        <v>4.1000000000000003E-3</v>
      </c>
      <c r="K67" s="224">
        <v>530</v>
      </c>
      <c r="L67" s="225">
        <v>2.5999999999999999E-3</v>
      </c>
      <c r="M67" s="224">
        <v>11419</v>
      </c>
      <c r="N67" s="225">
        <v>5.5300000000000002E-2</v>
      </c>
      <c r="O67" s="226">
        <v>8.3000000000000004E-2</v>
      </c>
      <c r="P67" s="226">
        <v>0.22700000000000001</v>
      </c>
      <c r="Q67" s="226">
        <v>0.153</v>
      </c>
      <c r="R67" s="154">
        <v>0.51500000000000001</v>
      </c>
      <c r="S67" s="227">
        <v>72.099999999999994</v>
      </c>
      <c r="T67" s="227">
        <v>4.3</v>
      </c>
      <c r="U67" s="227">
        <v>4250</v>
      </c>
      <c r="V67" s="227">
        <v>632</v>
      </c>
      <c r="W67" s="227">
        <v>198</v>
      </c>
      <c r="X67" s="227">
        <v>94</v>
      </c>
      <c r="Y67" s="227">
        <v>220</v>
      </c>
      <c r="Z67" s="227">
        <v>11</v>
      </c>
      <c r="AA67" s="228">
        <v>0.22</v>
      </c>
      <c r="AB67" s="228">
        <v>0.18</v>
      </c>
      <c r="AC67" s="228">
        <v>0.15</v>
      </c>
      <c r="AD67" s="227">
        <v>1542</v>
      </c>
      <c r="AE67" s="227">
        <v>897</v>
      </c>
      <c r="AF67" s="155">
        <v>0.13</v>
      </c>
      <c r="AG67" s="227">
        <v>5.4</v>
      </c>
      <c r="AH67" s="228">
        <v>0.2</v>
      </c>
      <c r="AI67" s="228">
        <v>0.41</v>
      </c>
      <c r="AJ67" s="227">
        <v>27640</v>
      </c>
      <c r="AK67" s="228">
        <v>0.13</v>
      </c>
      <c r="AL67" s="227">
        <v>42202</v>
      </c>
      <c r="AM67" s="228">
        <v>0.21</v>
      </c>
      <c r="AN67" s="228">
        <v>0.44</v>
      </c>
      <c r="AO67" s="227">
        <v>5.8</v>
      </c>
      <c r="AP67" s="228">
        <v>0.3</v>
      </c>
      <c r="AQ67" s="228">
        <v>0.82</v>
      </c>
      <c r="AR67" s="228">
        <v>0.16</v>
      </c>
      <c r="AS67" s="227">
        <v>22</v>
      </c>
      <c r="AT67" s="227">
        <v>155</v>
      </c>
      <c r="AU67" s="228">
        <v>0.14000000000000001</v>
      </c>
      <c r="AV67" s="227">
        <v>196</v>
      </c>
      <c r="AW67" s="227">
        <v>32</v>
      </c>
      <c r="AX67" s="227">
        <v>2255</v>
      </c>
      <c r="AY67" s="227">
        <v>1096.4000000000001</v>
      </c>
      <c r="AZ67" s="153">
        <v>32</v>
      </c>
      <c r="BA67" s="227">
        <v>24223</v>
      </c>
      <c r="BB67" s="228">
        <v>0.15</v>
      </c>
      <c r="BC67" s="227">
        <v>22171</v>
      </c>
      <c r="BD67" s="228">
        <v>0.19</v>
      </c>
      <c r="BE67" s="227">
        <v>2263</v>
      </c>
      <c r="BF67" s="228">
        <v>0.05</v>
      </c>
      <c r="BG67" s="227">
        <v>183</v>
      </c>
      <c r="BH67" s="229" t="s">
        <v>139</v>
      </c>
      <c r="BI67" s="229" t="s">
        <v>140</v>
      </c>
      <c r="BJ67" s="210" t="s">
        <v>141</v>
      </c>
      <c r="BK67" s="227">
        <v>719</v>
      </c>
      <c r="BL67" s="229" t="s">
        <v>142</v>
      </c>
      <c r="BM67" s="227">
        <v>2701</v>
      </c>
      <c r="BN67" s="228">
        <v>0.39</v>
      </c>
      <c r="BO67" s="155">
        <v>0.37</v>
      </c>
      <c r="BP67" s="227">
        <v>118736</v>
      </c>
      <c r="BQ67" s="228">
        <v>0.88</v>
      </c>
      <c r="BR67" s="227">
        <v>2150</v>
      </c>
      <c r="BS67" s="227">
        <v>74</v>
      </c>
      <c r="BT67" s="227">
        <v>35726</v>
      </c>
      <c r="BU67" s="228">
        <v>0.62</v>
      </c>
      <c r="BV67" s="227">
        <v>3480</v>
      </c>
      <c r="BW67" s="227">
        <v>82682</v>
      </c>
      <c r="BX67" s="226">
        <v>4.2000000000000003E-2</v>
      </c>
      <c r="BY67" s="228">
        <v>0.26</v>
      </c>
      <c r="BZ67" s="231">
        <v>100804</v>
      </c>
      <c r="CA67" s="231">
        <v>20024</v>
      </c>
      <c r="CB67" s="232">
        <v>50079</v>
      </c>
      <c r="CC67" s="233">
        <v>39.28</v>
      </c>
      <c r="CD67" s="227">
        <v>5</v>
      </c>
      <c r="CE67" s="227">
        <v>24062</v>
      </c>
      <c r="CF67" s="227">
        <v>47058</v>
      </c>
      <c r="CG67" s="227">
        <v>51</v>
      </c>
      <c r="CH67" s="227">
        <v>202</v>
      </c>
      <c r="CI67" s="227">
        <v>9.8000000000000007</v>
      </c>
      <c r="CJ67" s="227">
        <v>1044</v>
      </c>
      <c r="CK67" s="153">
        <v>103</v>
      </c>
      <c r="CL67" s="227">
        <v>10.7</v>
      </c>
      <c r="CM67" s="227" t="s">
        <v>109</v>
      </c>
      <c r="CN67" s="228">
        <v>0.19</v>
      </c>
      <c r="CO67" s="227">
        <v>38018</v>
      </c>
      <c r="CP67" s="228">
        <v>0.51</v>
      </c>
      <c r="CQ67" s="227">
        <v>12973</v>
      </c>
      <c r="CR67" s="228">
        <v>0.18</v>
      </c>
      <c r="CS67" s="228">
        <v>0.84</v>
      </c>
      <c r="CT67" s="234">
        <v>0.25</v>
      </c>
    </row>
    <row r="68" spans="1:98" ht="16" x14ac:dyDescent="0.2">
      <c r="A68" s="223" t="s">
        <v>143</v>
      </c>
      <c r="B68" s="224">
        <v>13977</v>
      </c>
      <c r="C68" s="224">
        <v>7758</v>
      </c>
      <c r="D68" s="225">
        <v>0.55510000000000004</v>
      </c>
      <c r="E68" s="224">
        <v>5483</v>
      </c>
      <c r="F68" s="225">
        <v>0.39229999999999998</v>
      </c>
      <c r="G68" s="224">
        <v>97</v>
      </c>
      <c r="H68" s="225">
        <v>6.8999999999999999E-3</v>
      </c>
      <c r="I68" s="224">
        <v>69</v>
      </c>
      <c r="J68" s="225">
        <v>4.8999999999999998E-3</v>
      </c>
      <c r="K68" s="224">
        <v>7</v>
      </c>
      <c r="L68" s="225">
        <v>5.0000000000000001E-4</v>
      </c>
      <c r="M68" s="224">
        <v>400</v>
      </c>
      <c r="N68" s="225">
        <v>2.86E-2</v>
      </c>
      <c r="O68" s="226">
        <v>1</v>
      </c>
      <c r="P68" s="226">
        <v>0.20100000000000001</v>
      </c>
      <c r="Q68" s="226">
        <v>0.21</v>
      </c>
      <c r="R68" s="154">
        <v>0.50900000000000001</v>
      </c>
      <c r="S68" s="227">
        <v>71.8</v>
      </c>
      <c r="T68" s="227">
        <v>4.3</v>
      </c>
      <c r="U68" s="227">
        <v>352</v>
      </c>
      <c r="V68" s="227">
        <v>643</v>
      </c>
      <c r="W68" s="227">
        <v>14</v>
      </c>
      <c r="X68" s="227">
        <v>109</v>
      </c>
      <c r="Y68" s="227">
        <v>0</v>
      </c>
      <c r="Z68" s="227">
        <v>0</v>
      </c>
      <c r="AA68" s="228">
        <v>0.2</v>
      </c>
      <c r="AB68" s="228">
        <v>0.18</v>
      </c>
      <c r="AC68" s="228">
        <v>0.13</v>
      </c>
      <c r="AD68" s="227">
        <v>39</v>
      </c>
      <c r="AE68" s="227">
        <v>323</v>
      </c>
      <c r="AF68" s="155">
        <v>0.12</v>
      </c>
      <c r="AG68" s="227">
        <v>5.4</v>
      </c>
      <c r="AH68" s="228">
        <v>0.2</v>
      </c>
      <c r="AI68" s="228">
        <v>0.39</v>
      </c>
      <c r="AJ68" s="227">
        <v>1580</v>
      </c>
      <c r="AK68" s="228">
        <v>0.11</v>
      </c>
      <c r="AL68" s="227">
        <v>1423</v>
      </c>
      <c r="AM68" s="228">
        <v>0.1</v>
      </c>
      <c r="AN68" s="228">
        <v>0.4</v>
      </c>
      <c r="AO68" s="227">
        <v>7.4</v>
      </c>
      <c r="AP68" s="228">
        <v>0.28999999999999998</v>
      </c>
      <c r="AQ68" s="228">
        <v>0.44</v>
      </c>
      <c r="AR68" s="228">
        <v>0.15</v>
      </c>
      <c r="AS68" s="227">
        <v>9</v>
      </c>
      <c r="AT68" s="227">
        <v>22</v>
      </c>
      <c r="AU68" s="228">
        <v>0.41</v>
      </c>
      <c r="AV68" s="227">
        <v>0</v>
      </c>
      <c r="AW68" s="227">
        <v>0</v>
      </c>
      <c r="AX68" s="227">
        <v>98</v>
      </c>
      <c r="AY68" s="227">
        <v>694.8</v>
      </c>
      <c r="AZ68" s="153">
        <v>44</v>
      </c>
      <c r="BA68" s="227">
        <v>1666</v>
      </c>
      <c r="BB68" s="228">
        <v>0.16</v>
      </c>
      <c r="BC68" s="227">
        <v>1494</v>
      </c>
      <c r="BD68" s="228">
        <v>0.19</v>
      </c>
      <c r="BE68" s="227">
        <v>185</v>
      </c>
      <c r="BF68" s="228">
        <v>7.0000000000000007E-2</v>
      </c>
      <c r="BG68" s="227">
        <v>2</v>
      </c>
      <c r="BH68" s="229" t="s">
        <v>144</v>
      </c>
      <c r="BI68" s="229" t="s">
        <v>106</v>
      </c>
      <c r="BJ68" s="229" t="s">
        <v>145</v>
      </c>
      <c r="BK68" s="229" t="s">
        <v>146</v>
      </c>
      <c r="BL68" s="229" t="s">
        <v>147</v>
      </c>
      <c r="BM68" s="227">
        <v>3421</v>
      </c>
      <c r="BN68" s="228">
        <v>0.36</v>
      </c>
      <c r="BO68" s="155">
        <v>0.35</v>
      </c>
      <c r="BP68" s="227">
        <v>8705</v>
      </c>
      <c r="BQ68" s="228">
        <v>0.85</v>
      </c>
      <c r="BR68" s="227">
        <v>125</v>
      </c>
      <c r="BS68" s="227">
        <v>93</v>
      </c>
      <c r="BT68" s="227">
        <v>1754</v>
      </c>
      <c r="BU68" s="228">
        <v>0.49</v>
      </c>
      <c r="BV68" s="227">
        <v>218</v>
      </c>
      <c r="BW68" s="227">
        <v>5033</v>
      </c>
      <c r="BX68" s="226">
        <v>4.2999999999999997E-2</v>
      </c>
      <c r="BY68" s="228">
        <v>0.3</v>
      </c>
      <c r="BZ68" s="231">
        <v>108400</v>
      </c>
      <c r="CA68" s="231">
        <v>21635</v>
      </c>
      <c r="CB68" s="232">
        <v>52713</v>
      </c>
      <c r="CC68" s="233">
        <v>37.020000000000003</v>
      </c>
      <c r="CD68" s="227">
        <v>5</v>
      </c>
      <c r="CE68" s="227">
        <v>1226</v>
      </c>
      <c r="CF68" s="227">
        <v>2839</v>
      </c>
      <c r="CG68" s="227">
        <v>43</v>
      </c>
      <c r="CH68" s="227">
        <v>17</v>
      </c>
      <c r="CI68" s="227">
        <v>12.1</v>
      </c>
      <c r="CJ68" s="227">
        <v>74</v>
      </c>
      <c r="CK68" s="153">
        <v>106</v>
      </c>
      <c r="CL68" s="227">
        <v>9</v>
      </c>
      <c r="CM68" s="227" t="s">
        <v>109</v>
      </c>
      <c r="CN68" s="228">
        <v>0.12</v>
      </c>
      <c r="CO68" s="227">
        <v>3506</v>
      </c>
      <c r="CP68" s="228">
        <v>0.74</v>
      </c>
      <c r="CQ68" s="227">
        <v>298</v>
      </c>
      <c r="CR68" s="228">
        <v>7.0000000000000007E-2</v>
      </c>
      <c r="CS68" s="228">
        <v>0.78</v>
      </c>
      <c r="CT68" s="236">
        <v>465</v>
      </c>
    </row>
    <row r="69" spans="1:98" ht="16" x14ac:dyDescent="0.2">
      <c r="A69" s="223" t="s">
        <v>148</v>
      </c>
      <c r="B69" s="224">
        <v>1600</v>
      </c>
      <c r="C69" s="224">
        <v>597</v>
      </c>
      <c r="D69" s="225">
        <v>0.37309999999999999</v>
      </c>
      <c r="E69" s="224">
        <v>829</v>
      </c>
      <c r="F69" s="225">
        <v>0.5181</v>
      </c>
      <c r="G69" s="224">
        <v>31</v>
      </c>
      <c r="H69" s="225">
        <v>1.9400000000000001E-2</v>
      </c>
      <c r="I69" s="224">
        <v>3</v>
      </c>
      <c r="J69" s="225">
        <v>1.9E-3</v>
      </c>
      <c r="K69" s="224">
        <v>0</v>
      </c>
      <c r="L69" s="225">
        <v>0</v>
      </c>
      <c r="M69" s="224">
        <v>93</v>
      </c>
      <c r="N69" s="225">
        <v>5.8099999999999999E-2</v>
      </c>
      <c r="O69" s="226">
        <v>1</v>
      </c>
      <c r="P69" s="226">
        <v>0.184</v>
      </c>
      <c r="Q69" s="226">
        <v>0.27700000000000002</v>
      </c>
      <c r="R69" s="154">
        <v>0.48899999999999999</v>
      </c>
      <c r="S69" s="227">
        <v>0</v>
      </c>
      <c r="T69" s="227">
        <v>4.5</v>
      </c>
      <c r="U69" s="227">
        <v>0</v>
      </c>
      <c r="V69" s="227">
        <v>616</v>
      </c>
      <c r="W69" s="227">
        <v>0</v>
      </c>
      <c r="X69" s="227">
        <v>0</v>
      </c>
      <c r="Y69" s="227">
        <v>0</v>
      </c>
      <c r="Z69" s="227">
        <v>0</v>
      </c>
      <c r="AA69" s="228">
        <v>0.24</v>
      </c>
      <c r="AB69" s="228">
        <v>0.18</v>
      </c>
      <c r="AC69" s="228">
        <v>0.16</v>
      </c>
      <c r="AD69" s="227">
        <v>7</v>
      </c>
      <c r="AE69" s="227">
        <v>510</v>
      </c>
      <c r="AF69" s="155">
        <v>0.11</v>
      </c>
      <c r="AG69" s="227">
        <v>5.5</v>
      </c>
      <c r="AH69" s="228">
        <v>0.22</v>
      </c>
      <c r="AI69" s="228">
        <v>0.42</v>
      </c>
      <c r="AJ69" s="227">
        <v>190</v>
      </c>
      <c r="AK69" s="228">
        <v>0.12</v>
      </c>
      <c r="AL69" s="227">
        <v>814</v>
      </c>
      <c r="AM69" s="228">
        <v>0.47</v>
      </c>
      <c r="AN69" s="228">
        <v>0.43</v>
      </c>
      <c r="AO69" s="227">
        <v>3.3</v>
      </c>
      <c r="AP69" s="228">
        <v>0.34</v>
      </c>
      <c r="AQ69" s="228">
        <v>0.34</v>
      </c>
      <c r="AR69" s="228">
        <v>0.12</v>
      </c>
      <c r="AS69" s="227">
        <v>1</v>
      </c>
      <c r="AT69" s="227">
        <v>14</v>
      </c>
      <c r="AU69" s="228">
        <v>7.0000000000000007E-2</v>
      </c>
      <c r="AV69" s="227">
        <v>0</v>
      </c>
      <c r="AW69" s="227">
        <v>0</v>
      </c>
      <c r="AX69" s="227">
        <v>9</v>
      </c>
      <c r="AY69" s="227">
        <v>577.70000000000005</v>
      </c>
      <c r="AZ69" s="153">
        <v>0</v>
      </c>
      <c r="BA69" s="227">
        <v>190</v>
      </c>
      <c r="BB69" s="228">
        <v>0.17</v>
      </c>
      <c r="BC69" s="227">
        <v>172</v>
      </c>
      <c r="BD69" s="228">
        <v>0.2</v>
      </c>
      <c r="BE69" s="227">
        <v>20</v>
      </c>
      <c r="BF69" s="228">
        <v>0.08</v>
      </c>
      <c r="BG69" s="227">
        <v>0</v>
      </c>
      <c r="BH69" s="229" t="s">
        <v>149</v>
      </c>
      <c r="BI69" s="229" t="s">
        <v>120</v>
      </c>
      <c r="BJ69" s="229" t="s">
        <v>150</v>
      </c>
      <c r="BK69" s="229" t="s">
        <v>120</v>
      </c>
      <c r="BL69" s="229" t="s">
        <v>120</v>
      </c>
      <c r="BM69" s="227">
        <v>1500</v>
      </c>
      <c r="BN69" s="228">
        <v>0.27</v>
      </c>
      <c r="BO69" s="155">
        <v>0.33</v>
      </c>
      <c r="BP69" s="227">
        <v>1096</v>
      </c>
      <c r="BQ69" s="228">
        <v>0.84</v>
      </c>
      <c r="BR69" s="227">
        <v>0</v>
      </c>
      <c r="BS69" s="227">
        <v>0</v>
      </c>
      <c r="BT69" s="227">
        <v>191</v>
      </c>
      <c r="BU69" s="228">
        <v>0.43</v>
      </c>
      <c r="BV69" s="227">
        <v>23</v>
      </c>
      <c r="BW69" s="227">
        <v>541</v>
      </c>
      <c r="BX69" s="226">
        <v>4.2999999999999997E-2</v>
      </c>
      <c r="BY69" s="228">
        <v>0.31</v>
      </c>
      <c r="BZ69" s="231">
        <v>67250</v>
      </c>
      <c r="CA69" s="231">
        <v>25500</v>
      </c>
      <c r="CB69" s="232">
        <v>42138</v>
      </c>
      <c r="CC69" s="233">
        <v>36.14</v>
      </c>
      <c r="CD69" s="227">
        <v>2.6</v>
      </c>
      <c r="CE69" s="227">
        <v>69</v>
      </c>
      <c r="CF69" s="227">
        <v>239</v>
      </c>
      <c r="CG69" s="227">
        <v>29</v>
      </c>
      <c r="CH69" s="227">
        <v>0</v>
      </c>
      <c r="CI69" s="227">
        <v>0</v>
      </c>
      <c r="CJ69" s="227">
        <v>0</v>
      </c>
      <c r="CK69" s="153">
        <v>0</v>
      </c>
      <c r="CL69" s="227">
        <v>9.4</v>
      </c>
      <c r="CM69" s="227" t="s">
        <v>122</v>
      </c>
      <c r="CN69" s="228">
        <v>0.17</v>
      </c>
      <c r="CO69" s="227">
        <v>483</v>
      </c>
      <c r="CP69" s="228">
        <v>0.75</v>
      </c>
      <c r="CQ69" s="227">
        <v>69</v>
      </c>
      <c r="CR69" s="228">
        <v>0.12</v>
      </c>
      <c r="CS69" s="228">
        <v>0.6</v>
      </c>
      <c r="CT69" s="234">
        <v>0.49</v>
      </c>
    </row>
    <row r="70" spans="1:98" ht="16" x14ac:dyDescent="0.2">
      <c r="A70" s="223" t="s">
        <v>151</v>
      </c>
      <c r="B70" s="224">
        <v>5155</v>
      </c>
      <c r="C70" s="224">
        <v>2053</v>
      </c>
      <c r="D70" s="225">
        <v>0.39829999999999999</v>
      </c>
      <c r="E70" s="224">
        <v>2862</v>
      </c>
      <c r="F70" s="225">
        <v>0.55520000000000003</v>
      </c>
      <c r="G70" s="224">
        <v>41</v>
      </c>
      <c r="H70" s="225">
        <v>8.0000000000000002E-3</v>
      </c>
      <c r="I70" s="224">
        <v>13</v>
      </c>
      <c r="J70" s="225">
        <v>2.5000000000000001E-3</v>
      </c>
      <c r="K70" s="224">
        <v>0</v>
      </c>
      <c r="L70" s="225">
        <v>0</v>
      </c>
      <c r="M70" s="224">
        <v>105</v>
      </c>
      <c r="N70" s="225">
        <v>2.0400000000000001E-2</v>
      </c>
      <c r="O70" s="226">
        <v>1</v>
      </c>
      <c r="P70" s="226">
        <v>0.20200000000000001</v>
      </c>
      <c r="Q70" s="226">
        <v>0.23699999999999999</v>
      </c>
      <c r="R70" s="154">
        <v>0.52200000000000002</v>
      </c>
      <c r="S70" s="227">
        <v>72.599999999999994</v>
      </c>
      <c r="T70" s="227">
        <v>4.8</v>
      </c>
      <c r="U70" s="227">
        <v>142</v>
      </c>
      <c r="V70" s="227">
        <v>656</v>
      </c>
      <c r="W70" s="227">
        <v>0</v>
      </c>
      <c r="X70" s="227">
        <v>0</v>
      </c>
      <c r="Y70" s="227">
        <v>0</v>
      </c>
      <c r="Z70" s="227">
        <v>0</v>
      </c>
      <c r="AA70" s="228">
        <v>0.26</v>
      </c>
      <c r="AB70" s="228">
        <v>0.19</v>
      </c>
      <c r="AC70" s="228">
        <v>0.16</v>
      </c>
      <c r="AD70" s="227">
        <v>19</v>
      </c>
      <c r="AE70" s="227">
        <v>424</v>
      </c>
      <c r="AF70" s="155">
        <v>0.13</v>
      </c>
      <c r="AG70" s="227">
        <v>5.8</v>
      </c>
      <c r="AH70" s="228">
        <v>0.24</v>
      </c>
      <c r="AI70" s="228">
        <v>0.43</v>
      </c>
      <c r="AJ70" s="227">
        <v>710</v>
      </c>
      <c r="AK70" s="228">
        <v>0.14000000000000001</v>
      </c>
      <c r="AL70" s="227">
        <v>72</v>
      </c>
      <c r="AM70" s="228">
        <v>0.01</v>
      </c>
      <c r="AN70" s="228">
        <v>0.43</v>
      </c>
      <c r="AO70" s="227">
        <v>7.8</v>
      </c>
      <c r="AP70" s="228">
        <v>0.35</v>
      </c>
      <c r="AQ70" s="228">
        <v>0.1</v>
      </c>
      <c r="AR70" s="228">
        <v>0.12</v>
      </c>
      <c r="AS70" s="227">
        <v>1</v>
      </c>
      <c r="AT70" s="227">
        <v>14</v>
      </c>
      <c r="AU70" s="228">
        <v>7.0000000000000007E-2</v>
      </c>
      <c r="AV70" s="227">
        <v>0</v>
      </c>
      <c r="AW70" s="227">
        <v>0</v>
      </c>
      <c r="AX70" s="227">
        <v>40</v>
      </c>
      <c r="AY70" s="227">
        <v>763.4</v>
      </c>
      <c r="AZ70" s="153">
        <v>29</v>
      </c>
      <c r="BA70" s="227">
        <v>611</v>
      </c>
      <c r="BB70" s="228">
        <v>0.16</v>
      </c>
      <c r="BC70" s="227">
        <v>545</v>
      </c>
      <c r="BD70" s="228">
        <v>0.19</v>
      </c>
      <c r="BE70" s="227">
        <v>71</v>
      </c>
      <c r="BF70" s="228">
        <v>7.0000000000000007E-2</v>
      </c>
      <c r="BG70" s="227">
        <v>3</v>
      </c>
      <c r="BH70" s="229" t="s">
        <v>152</v>
      </c>
      <c r="BI70" s="229" t="s">
        <v>153</v>
      </c>
      <c r="BJ70" s="229" t="s">
        <v>154</v>
      </c>
      <c r="BK70" s="229" t="s">
        <v>155</v>
      </c>
      <c r="BL70" s="229" t="s">
        <v>156</v>
      </c>
      <c r="BM70" s="227">
        <v>2748</v>
      </c>
      <c r="BN70" s="228">
        <v>0.33</v>
      </c>
      <c r="BO70" s="155">
        <v>0.43</v>
      </c>
      <c r="BP70" s="227">
        <v>2661</v>
      </c>
      <c r="BQ70" s="228">
        <v>0.72</v>
      </c>
      <c r="BR70" s="227">
        <v>0</v>
      </c>
      <c r="BS70" s="227">
        <v>0</v>
      </c>
      <c r="BT70" s="227">
        <v>544</v>
      </c>
      <c r="BU70" s="228">
        <v>0.5</v>
      </c>
      <c r="BV70" s="227">
        <v>102</v>
      </c>
      <c r="BW70" s="227">
        <v>2691</v>
      </c>
      <c r="BX70" s="226">
        <v>3.7999999999999999E-2</v>
      </c>
      <c r="BY70" s="228">
        <v>0.38</v>
      </c>
      <c r="BZ70" s="231">
        <v>83259</v>
      </c>
      <c r="CA70" s="231">
        <v>16250</v>
      </c>
      <c r="CB70" s="232">
        <v>44367</v>
      </c>
      <c r="CC70" s="233">
        <v>35.54</v>
      </c>
      <c r="CD70" s="227">
        <v>5.0999999999999996</v>
      </c>
      <c r="CE70" s="227">
        <v>531</v>
      </c>
      <c r="CF70" s="227">
        <v>1057</v>
      </c>
      <c r="CG70" s="227">
        <v>50</v>
      </c>
      <c r="CH70" s="227">
        <v>7</v>
      </c>
      <c r="CI70" s="227">
        <v>13.4</v>
      </c>
      <c r="CJ70" s="227">
        <v>37</v>
      </c>
      <c r="CK70" s="153">
        <v>141</v>
      </c>
      <c r="CL70" s="227">
        <v>9.6</v>
      </c>
      <c r="CM70" s="227" t="s">
        <v>122</v>
      </c>
      <c r="CN70" s="228">
        <v>0.11</v>
      </c>
      <c r="CO70" s="227">
        <v>1393</v>
      </c>
      <c r="CP70" s="228">
        <v>0.72</v>
      </c>
      <c r="CQ70" s="227">
        <v>155</v>
      </c>
      <c r="CR70" s="228">
        <v>0.09</v>
      </c>
      <c r="CS70" s="228">
        <v>0.61</v>
      </c>
      <c r="CT70" s="234">
        <v>0.4</v>
      </c>
    </row>
    <row r="71" spans="1:98" ht="16" x14ac:dyDescent="0.2">
      <c r="A71" s="223" t="s">
        <v>157</v>
      </c>
      <c r="B71" s="224">
        <v>9599</v>
      </c>
      <c r="C71" s="224">
        <v>4953</v>
      </c>
      <c r="D71" s="225">
        <v>0.51600000000000001</v>
      </c>
      <c r="E71" s="224">
        <v>3721</v>
      </c>
      <c r="F71" s="225">
        <v>0.3876</v>
      </c>
      <c r="G71" s="224">
        <v>116</v>
      </c>
      <c r="H71" s="225">
        <v>1.21E-2</v>
      </c>
      <c r="I71" s="224">
        <v>27</v>
      </c>
      <c r="J71" s="225">
        <v>2.8E-3</v>
      </c>
      <c r="K71" s="224">
        <v>6</v>
      </c>
      <c r="L71" s="225">
        <v>5.9999999999999995E-4</v>
      </c>
      <c r="M71" s="224">
        <v>580</v>
      </c>
      <c r="N71" s="225">
        <v>6.0400000000000002E-2</v>
      </c>
      <c r="O71" s="226">
        <v>1</v>
      </c>
      <c r="P71" s="226">
        <v>0.20699999999999999</v>
      </c>
      <c r="Q71" s="226">
        <v>0.23699999999999999</v>
      </c>
      <c r="R71" s="154">
        <v>0.51500000000000001</v>
      </c>
      <c r="S71" s="227">
        <v>73.2</v>
      </c>
      <c r="T71" s="227">
        <v>4.5</v>
      </c>
      <c r="U71" s="227">
        <v>232</v>
      </c>
      <c r="V71" s="227">
        <v>611</v>
      </c>
      <c r="W71" s="227">
        <v>0</v>
      </c>
      <c r="X71" s="227">
        <v>0</v>
      </c>
      <c r="Y71" s="227">
        <v>0</v>
      </c>
      <c r="Z71" s="227">
        <v>0</v>
      </c>
      <c r="AA71" s="228">
        <v>0.23</v>
      </c>
      <c r="AB71" s="228">
        <v>0.19</v>
      </c>
      <c r="AC71" s="228">
        <v>0.14000000000000001</v>
      </c>
      <c r="AD71" s="227">
        <v>27</v>
      </c>
      <c r="AE71" s="227">
        <v>331</v>
      </c>
      <c r="AF71" s="155">
        <v>0.1</v>
      </c>
      <c r="AG71" s="227">
        <v>5.6</v>
      </c>
      <c r="AH71" s="228">
        <v>0.22</v>
      </c>
      <c r="AI71" s="228">
        <v>0.42</v>
      </c>
      <c r="AJ71" s="227">
        <v>1240</v>
      </c>
      <c r="AK71" s="228">
        <v>0.13</v>
      </c>
      <c r="AL71" s="227">
        <v>721</v>
      </c>
      <c r="AM71" s="228">
        <v>7.0000000000000007E-2</v>
      </c>
      <c r="AN71" s="228">
        <v>0.41</v>
      </c>
      <c r="AO71" s="227">
        <v>7.4</v>
      </c>
      <c r="AP71" s="228">
        <v>0.32</v>
      </c>
      <c r="AQ71" s="228">
        <v>0.64</v>
      </c>
      <c r="AR71" s="228">
        <v>0.13</v>
      </c>
      <c r="AS71" s="227">
        <v>1</v>
      </c>
      <c r="AT71" s="227">
        <v>12</v>
      </c>
      <c r="AU71" s="228">
        <v>0.08</v>
      </c>
      <c r="AV71" s="227">
        <v>0</v>
      </c>
      <c r="AW71" s="227">
        <v>0</v>
      </c>
      <c r="AX71" s="227">
        <v>63</v>
      </c>
      <c r="AY71" s="227">
        <v>662.3</v>
      </c>
      <c r="AZ71" s="153">
        <v>27</v>
      </c>
      <c r="BA71" s="227">
        <v>1309</v>
      </c>
      <c r="BB71" s="228">
        <v>0.19</v>
      </c>
      <c r="BC71" s="227">
        <v>1147</v>
      </c>
      <c r="BD71" s="228">
        <v>0.22</v>
      </c>
      <c r="BE71" s="227">
        <v>174</v>
      </c>
      <c r="BF71" s="228">
        <v>0.09</v>
      </c>
      <c r="BG71" s="227">
        <v>4</v>
      </c>
      <c r="BH71" s="229" t="s">
        <v>158</v>
      </c>
      <c r="BI71" s="229" t="s">
        <v>155</v>
      </c>
      <c r="BJ71" s="229" t="s">
        <v>159</v>
      </c>
      <c r="BK71" s="229" t="s">
        <v>155</v>
      </c>
      <c r="BL71" s="229" t="s">
        <v>159</v>
      </c>
      <c r="BM71" s="227">
        <v>2584</v>
      </c>
      <c r="BN71" s="228">
        <v>0.38</v>
      </c>
      <c r="BO71" s="155">
        <v>0.42</v>
      </c>
      <c r="BP71" s="227">
        <v>5796</v>
      </c>
      <c r="BQ71" s="228">
        <v>0.83</v>
      </c>
      <c r="BR71" s="227">
        <v>103</v>
      </c>
      <c r="BS71" s="227">
        <v>83</v>
      </c>
      <c r="BT71" s="227">
        <v>815</v>
      </c>
      <c r="BU71" s="228">
        <v>0.38</v>
      </c>
      <c r="BV71" s="227">
        <v>150</v>
      </c>
      <c r="BW71" s="227">
        <v>3701</v>
      </c>
      <c r="BX71" s="226">
        <v>4.1000000000000002E-2</v>
      </c>
      <c r="BY71" s="228">
        <v>0.28000000000000003</v>
      </c>
      <c r="BZ71" s="231">
        <v>98862</v>
      </c>
      <c r="CA71" s="231">
        <v>21416</v>
      </c>
      <c r="CB71" s="232">
        <v>47377</v>
      </c>
      <c r="CC71" s="233">
        <v>36.11</v>
      </c>
      <c r="CD71" s="227">
        <v>4.5999999999999996</v>
      </c>
      <c r="CE71" s="227">
        <v>704</v>
      </c>
      <c r="CF71" s="227">
        <v>1983</v>
      </c>
      <c r="CG71" s="227">
        <v>36</v>
      </c>
      <c r="CH71" s="227">
        <v>9</v>
      </c>
      <c r="CI71" s="227">
        <v>9.6</v>
      </c>
      <c r="CJ71" s="227">
        <v>40</v>
      </c>
      <c r="CK71" s="153">
        <v>82</v>
      </c>
      <c r="CL71" s="227">
        <v>9.5</v>
      </c>
      <c r="CM71" s="227" t="s">
        <v>109</v>
      </c>
      <c r="CN71" s="228">
        <v>0.15</v>
      </c>
      <c r="CO71" s="227">
        <v>2650</v>
      </c>
      <c r="CP71" s="228">
        <v>0.66</v>
      </c>
      <c r="CQ71" s="227">
        <v>438</v>
      </c>
      <c r="CR71" s="228">
        <v>0.12</v>
      </c>
      <c r="CS71" s="228">
        <v>0.53</v>
      </c>
      <c r="CT71" s="234">
        <v>0.41</v>
      </c>
    </row>
    <row r="72" spans="1:98" ht="16" x14ac:dyDescent="0.2">
      <c r="A72" s="237" t="s">
        <v>160</v>
      </c>
      <c r="B72" s="230">
        <v>10912876</v>
      </c>
      <c r="C72" s="230">
        <v>5500388</v>
      </c>
      <c r="D72" s="225">
        <v>0.504</v>
      </c>
      <c r="E72" s="230">
        <v>3502283</v>
      </c>
      <c r="F72" s="225">
        <v>0.32090000000000002</v>
      </c>
      <c r="G72" s="230">
        <v>520964</v>
      </c>
      <c r="H72" s="225">
        <v>4.7699999999999999E-2</v>
      </c>
      <c r="I72" s="230">
        <v>60396</v>
      </c>
      <c r="J72" s="225">
        <v>5.4999999999999997E-3</v>
      </c>
      <c r="K72" s="230">
        <v>14944</v>
      </c>
      <c r="L72" s="225">
        <v>1.4E-3</v>
      </c>
      <c r="M72" s="230">
        <v>1140548</v>
      </c>
      <c r="N72" s="225">
        <v>0.1045</v>
      </c>
      <c r="O72" s="226">
        <v>0.25900000000000001</v>
      </c>
      <c r="P72" s="226">
        <v>0.23</v>
      </c>
      <c r="Q72" s="226">
        <v>0.151</v>
      </c>
      <c r="R72" s="154">
        <v>0.51200000000000001</v>
      </c>
      <c r="S72" s="227">
        <v>76.099999999999994</v>
      </c>
      <c r="T72" s="227">
        <v>3.6</v>
      </c>
      <c r="U72" s="227">
        <v>1605720</v>
      </c>
      <c r="V72" s="227">
        <v>442</v>
      </c>
      <c r="W72" s="227">
        <v>6677</v>
      </c>
      <c r="X72" s="227">
        <v>60</v>
      </c>
      <c r="Y72" s="227">
        <v>6243</v>
      </c>
      <c r="Z72" s="227">
        <v>7</v>
      </c>
      <c r="AA72" s="228">
        <v>0.18</v>
      </c>
      <c r="AB72" s="228">
        <v>0.15</v>
      </c>
      <c r="AC72" s="228">
        <v>0.11</v>
      </c>
      <c r="AD72" s="227">
        <v>59422</v>
      </c>
      <c r="AE72" s="227">
        <v>657</v>
      </c>
      <c r="AF72" s="155">
        <v>0.1</v>
      </c>
      <c r="AG72" s="227">
        <v>4.8</v>
      </c>
      <c r="AH72" s="228">
        <v>0.16</v>
      </c>
      <c r="AI72" s="228">
        <v>0.34</v>
      </c>
      <c r="AJ72" s="227">
        <v>1156660</v>
      </c>
      <c r="AK72" s="228">
        <v>0.11</v>
      </c>
      <c r="AL72" s="227">
        <v>971060</v>
      </c>
      <c r="AM72" s="228">
        <v>0.1</v>
      </c>
      <c r="AN72" s="228">
        <v>0.36</v>
      </c>
      <c r="AO72" s="227">
        <v>6.4</v>
      </c>
      <c r="AP72" s="228">
        <v>0.23</v>
      </c>
      <c r="AQ72" s="228">
        <v>0</v>
      </c>
      <c r="AR72" s="228">
        <v>0.17</v>
      </c>
      <c r="AS72" s="227">
        <v>1587</v>
      </c>
      <c r="AT72" s="227">
        <v>7996</v>
      </c>
      <c r="AU72" s="228">
        <v>0.2</v>
      </c>
      <c r="AV72" s="227">
        <v>5824</v>
      </c>
      <c r="AW72" s="227">
        <v>18</v>
      </c>
      <c r="AX72" s="227">
        <v>67641</v>
      </c>
      <c r="AY72" s="227">
        <v>629.1</v>
      </c>
      <c r="AZ72" s="153">
        <v>20</v>
      </c>
      <c r="BA72" s="227">
        <v>1311686</v>
      </c>
      <c r="BB72" s="228">
        <v>0.15</v>
      </c>
      <c r="BC72" s="227">
        <v>1157416</v>
      </c>
      <c r="BD72" s="228">
        <v>0.18</v>
      </c>
      <c r="BE72" s="227">
        <v>169768</v>
      </c>
      <c r="BF72" s="228">
        <v>7.0000000000000007E-2</v>
      </c>
      <c r="BG72" s="227">
        <v>7121</v>
      </c>
      <c r="BH72" s="235">
        <v>63.209027777777777</v>
      </c>
      <c r="BI72" s="235">
        <v>5880</v>
      </c>
      <c r="BJ72" s="229" t="s">
        <v>161</v>
      </c>
      <c r="BK72" s="229" t="s">
        <v>162</v>
      </c>
      <c r="BL72" s="229" t="s">
        <v>163</v>
      </c>
      <c r="BM72" s="227">
        <v>3076</v>
      </c>
      <c r="BN72" s="228">
        <v>0.41</v>
      </c>
      <c r="BO72" s="155">
        <v>0.43</v>
      </c>
      <c r="BP72" s="227">
        <v>6349981</v>
      </c>
      <c r="BQ72" s="228">
        <v>0.89</v>
      </c>
      <c r="BR72" s="227">
        <v>129450</v>
      </c>
      <c r="BS72" s="227">
        <v>85</v>
      </c>
      <c r="BT72" s="227">
        <v>1889419</v>
      </c>
      <c r="BU72" s="228">
        <v>0.65</v>
      </c>
      <c r="BV72" s="227">
        <v>159191</v>
      </c>
      <c r="BW72" s="227">
        <v>5234292</v>
      </c>
      <c r="BX72" s="226">
        <v>0.03</v>
      </c>
      <c r="BY72" s="228">
        <v>0.17</v>
      </c>
      <c r="BZ72" s="231">
        <v>142334</v>
      </c>
      <c r="CA72" s="231">
        <v>29355</v>
      </c>
      <c r="CB72" s="232">
        <v>72742</v>
      </c>
      <c r="CC72" s="227"/>
      <c r="CD72" s="227">
        <v>4.8</v>
      </c>
      <c r="CE72" s="227">
        <v>766557</v>
      </c>
      <c r="CF72" s="227">
        <v>2507638</v>
      </c>
      <c r="CG72" s="227">
        <v>31</v>
      </c>
      <c r="CH72" s="227">
        <v>9620</v>
      </c>
      <c r="CI72" s="227">
        <v>8.9</v>
      </c>
      <c r="CJ72" s="227">
        <v>38685</v>
      </c>
      <c r="CK72" s="153">
        <v>73</v>
      </c>
      <c r="CL72" s="227">
        <v>9.4</v>
      </c>
      <c r="CM72" s="227" t="s">
        <v>122</v>
      </c>
      <c r="CN72" s="228">
        <v>0.15</v>
      </c>
      <c r="CO72" s="224">
        <v>2565877</v>
      </c>
      <c r="CP72" s="228">
        <v>0.65</v>
      </c>
      <c r="CQ72" s="227">
        <v>530193</v>
      </c>
      <c r="CR72" s="228">
        <v>0.14000000000000001</v>
      </c>
      <c r="CS72" s="228">
        <v>0.88</v>
      </c>
      <c r="CT72" s="234">
        <v>0.42</v>
      </c>
    </row>
    <row r="73" spans="1:98" ht="17" thickBot="1" x14ac:dyDescent="0.25">
      <c r="A73" s="238" t="s">
        <v>164</v>
      </c>
      <c r="B73" s="239"/>
      <c r="C73" s="239"/>
      <c r="D73" s="239"/>
      <c r="E73" s="239"/>
      <c r="F73" s="239"/>
      <c r="G73" s="239"/>
      <c r="H73" s="239"/>
      <c r="I73" s="239"/>
      <c r="J73" s="239"/>
      <c r="K73" s="239"/>
      <c r="L73" s="239"/>
      <c r="M73" s="239"/>
      <c r="N73" s="239"/>
      <c r="O73" s="240">
        <v>0.2</v>
      </c>
      <c r="P73" s="241"/>
      <c r="Q73" s="241"/>
      <c r="R73" s="242"/>
      <c r="S73" s="239"/>
      <c r="T73" s="239">
        <v>3.3</v>
      </c>
      <c r="U73" s="239">
        <v>8000</v>
      </c>
      <c r="V73" s="239"/>
      <c r="W73" s="239"/>
      <c r="X73" s="239"/>
      <c r="Y73" s="239"/>
      <c r="Z73" s="239"/>
      <c r="AA73" s="241">
        <v>0.14000000000000001</v>
      </c>
      <c r="AB73" s="241"/>
      <c r="AC73" s="241"/>
      <c r="AD73" s="241"/>
      <c r="AE73" s="241"/>
      <c r="AF73" s="242">
        <v>0.08</v>
      </c>
      <c r="AG73" s="239">
        <v>4.8</v>
      </c>
      <c r="AH73" s="241">
        <v>0.15</v>
      </c>
      <c r="AI73" s="241">
        <v>0.34</v>
      </c>
      <c r="AJ73" s="241"/>
      <c r="AK73" s="241"/>
      <c r="AL73" s="241"/>
      <c r="AM73" s="241"/>
      <c r="AN73" s="241"/>
      <c r="AO73" s="239">
        <v>7.7</v>
      </c>
      <c r="AP73" s="241">
        <v>0.23</v>
      </c>
      <c r="AQ73" s="241">
        <v>0.84</v>
      </c>
      <c r="AR73" s="241">
        <v>0.18</v>
      </c>
      <c r="AS73" s="239" t="s">
        <v>165</v>
      </c>
      <c r="AT73" s="239" t="s">
        <v>165</v>
      </c>
      <c r="AU73" s="241">
        <v>0.26</v>
      </c>
      <c r="AV73" s="241"/>
      <c r="AW73" s="241"/>
      <c r="AX73" s="239">
        <v>495.5</v>
      </c>
      <c r="AY73" s="239" t="s">
        <v>165</v>
      </c>
      <c r="AZ73" s="243">
        <v>17</v>
      </c>
      <c r="BA73" s="239" t="s">
        <v>165</v>
      </c>
      <c r="BB73" s="241">
        <v>0.1</v>
      </c>
      <c r="BC73" s="239"/>
      <c r="BD73" s="241"/>
      <c r="BE73" s="239"/>
      <c r="BF73" s="241"/>
      <c r="BG73" s="239" t="s">
        <v>165</v>
      </c>
      <c r="BH73" s="244" t="s">
        <v>166</v>
      </c>
      <c r="BI73" s="245" t="s">
        <v>165</v>
      </c>
      <c r="BJ73" s="244" t="s">
        <v>167</v>
      </c>
      <c r="BK73" s="246" t="s">
        <v>165</v>
      </c>
      <c r="BL73" s="247">
        <v>13.334027777777777</v>
      </c>
      <c r="BM73" s="239">
        <v>2681</v>
      </c>
      <c r="BN73" s="241">
        <v>0.43</v>
      </c>
      <c r="BO73" s="242">
        <v>0.46</v>
      </c>
      <c r="BP73" s="248" t="s">
        <v>165</v>
      </c>
      <c r="BQ73" s="241">
        <v>0.89</v>
      </c>
      <c r="BR73" s="239"/>
      <c r="BS73" s="239"/>
      <c r="BT73" s="239" t="s">
        <v>165</v>
      </c>
      <c r="BU73" s="241">
        <v>0.68</v>
      </c>
      <c r="BV73" s="239" t="s">
        <v>165</v>
      </c>
      <c r="BW73" s="239" t="s">
        <v>165</v>
      </c>
      <c r="BX73" s="240">
        <v>3.6999999999999998E-2</v>
      </c>
      <c r="BY73" s="241">
        <v>0.16</v>
      </c>
      <c r="BZ73" s="239" t="s">
        <v>165</v>
      </c>
      <c r="CA73" s="239" t="s">
        <v>165</v>
      </c>
      <c r="CB73" s="239"/>
      <c r="CC73" s="239"/>
      <c r="CD73" s="239">
        <v>9.1</v>
      </c>
      <c r="CE73" s="239" t="s">
        <v>165</v>
      </c>
      <c r="CF73" s="239" t="s">
        <v>165</v>
      </c>
      <c r="CG73" s="241">
        <v>0.25</v>
      </c>
      <c r="CH73" s="239" t="s">
        <v>165</v>
      </c>
      <c r="CI73" s="239">
        <v>9.1</v>
      </c>
      <c r="CJ73" s="239" t="s">
        <v>165</v>
      </c>
      <c r="CK73" s="243">
        <v>80</v>
      </c>
      <c r="CL73" s="239">
        <v>7.4</v>
      </c>
      <c r="CM73" s="241" t="s">
        <v>165</v>
      </c>
      <c r="CN73" s="241">
        <v>0.17</v>
      </c>
      <c r="CO73" s="239"/>
      <c r="CP73" s="241"/>
      <c r="CQ73" s="239"/>
      <c r="CR73" s="241"/>
      <c r="CS73" s="241"/>
      <c r="CT73" s="249">
        <v>0.36</v>
      </c>
    </row>
  </sheetData>
  <sortState xmlns:xlrd2="http://schemas.microsoft.com/office/spreadsheetml/2017/richdata2" ref="Z39:AA52">
    <sortCondition descending="1" ref="AA39:AA52"/>
  </sortState>
  <mergeCells count="12">
    <mergeCell ref="BU3:BW3"/>
    <mergeCell ref="B56:R57"/>
    <mergeCell ref="S56:AF57"/>
    <mergeCell ref="BA56:BO57"/>
    <mergeCell ref="CL56:CT57"/>
    <mergeCell ref="AG56:AZ57"/>
    <mergeCell ref="BP56:CK57"/>
    <mergeCell ref="A56:A57"/>
    <mergeCell ref="BI3:BK3"/>
    <mergeCell ref="BL3:BN3"/>
    <mergeCell ref="BO3:BQ3"/>
    <mergeCell ref="BR3:BT3"/>
  </mergeCells>
  <printOptions horizontalCentered="1" headings="1" gridLines="1"/>
  <pageMargins left="0.7" right="0.7" top="0.75" bottom="0.75" header="0.3" footer="0.3"/>
  <pageSetup scale="79" fitToWidth="0" fitToHeight="0" orientation="landscape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B18E0-C7B5-49D3-852C-70559BEDBFC1}">
  <sheetPr codeName="Sheet1"/>
  <dimension ref="A1:DB117"/>
  <sheetViews>
    <sheetView topLeftCell="A11" zoomScale="56" zoomScaleNormal="85" workbookViewId="0">
      <selection activeCell="C31" sqref="C31"/>
    </sheetView>
  </sheetViews>
  <sheetFormatPr baseColWidth="10" defaultColWidth="8.6640625" defaultRowHeight="15" x14ac:dyDescent="0.2"/>
  <cols>
    <col min="1" max="1" width="15.33203125" style="2" customWidth="1"/>
    <col min="2" max="3" width="17.33203125" style="2" customWidth="1"/>
    <col min="4" max="5" width="17.6640625" style="2" customWidth="1"/>
    <col min="6" max="7" width="14.33203125" style="2" customWidth="1"/>
    <col min="8" max="8" width="19.1640625" style="2" customWidth="1"/>
    <col min="9" max="9" width="16.6640625" style="2" customWidth="1"/>
    <col min="10" max="10" width="13.1640625" style="2" customWidth="1"/>
    <col min="11" max="11" width="16.83203125" style="2" customWidth="1"/>
    <col min="12" max="12" width="11.33203125" style="2" customWidth="1"/>
    <col min="13" max="13" width="20.33203125" style="2" customWidth="1"/>
    <col min="14" max="14" width="15.6640625" style="2" customWidth="1"/>
    <col min="15" max="15" width="19" style="2" customWidth="1"/>
    <col min="16" max="18" width="17.33203125" style="2" customWidth="1"/>
    <col min="19" max="20" width="16.33203125" style="2" customWidth="1"/>
    <col min="21" max="22" width="13.83203125" style="2" customWidth="1"/>
    <col min="23" max="23" width="12.83203125" style="2" customWidth="1"/>
    <col min="24" max="24" width="12.6640625" style="2" customWidth="1"/>
    <col min="25" max="25" width="20.33203125" style="2" customWidth="1"/>
    <col min="26" max="26" width="21.83203125" style="2" customWidth="1"/>
    <col min="27" max="27" width="23.33203125" style="2" customWidth="1"/>
    <col min="28" max="28" width="12.83203125" style="2" customWidth="1"/>
    <col min="29" max="29" width="14.33203125" style="2" customWidth="1"/>
    <col min="30" max="30" width="19.83203125" style="2" customWidth="1"/>
    <col min="31" max="31" width="14" style="2" customWidth="1"/>
    <col min="32" max="32" width="17.83203125" style="2" customWidth="1"/>
    <col min="33" max="33" width="18.6640625" style="2" customWidth="1"/>
    <col min="34" max="36" width="23.33203125" style="2" customWidth="1"/>
    <col min="37" max="37" width="19.6640625" style="2" customWidth="1"/>
    <col min="38" max="38" width="25.1640625" style="2" customWidth="1"/>
    <col min="39" max="39" width="12.83203125" style="2" customWidth="1"/>
    <col min="40" max="40" width="12.6640625" style="2" customWidth="1"/>
    <col min="41" max="43" width="22.1640625" style="2" customWidth="1"/>
    <col min="44" max="44" width="12.6640625" style="2" customWidth="1"/>
    <col min="45" max="45" width="16.6640625" style="2" customWidth="1"/>
    <col min="46" max="46" width="18.1640625" style="2" customWidth="1"/>
    <col min="47" max="47" width="14.33203125" style="2" customWidth="1"/>
    <col min="48" max="48" width="16.6640625" style="2" customWidth="1"/>
    <col min="49" max="49" width="22.1640625" style="2" customWidth="1"/>
    <col min="50" max="50" width="19.33203125" style="2" customWidth="1"/>
    <col min="51" max="53" width="25.1640625" style="2" customWidth="1"/>
    <col min="54" max="54" width="18.6640625" style="2" customWidth="1"/>
    <col min="55" max="55" width="20.1640625" style="2" customWidth="1"/>
    <col min="56" max="56" width="30.1640625" style="2" customWidth="1"/>
    <col min="57" max="57" width="27.6640625" style="2" customWidth="1"/>
    <col min="58" max="58" width="15.6640625" style="2" customWidth="1"/>
    <col min="59" max="59" width="21.83203125" style="2" customWidth="1"/>
    <col min="60" max="60" width="21.33203125" style="2" customWidth="1"/>
    <col min="61" max="61" width="19.33203125" style="2" customWidth="1"/>
    <col min="62" max="63" width="16.1640625" style="2" customWidth="1"/>
    <col min="64" max="64" width="22.33203125" style="2" customWidth="1"/>
    <col min="65" max="65" width="17.6640625" style="2" customWidth="1"/>
    <col min="66" max="66" width="15" style="2" customWidth="1"/>
    <col min="67" max="67" width="18.33203125" style="2" customWidth="1"/>
    <col min="68" max="69" width="20.6640625" style="2" customWidth="1"/>
    <col min="70" max="70" width="18.6640625" style="2" customWidth="1"/>
    <col min="71" max="71" width="14.1640625" style="2" customWidth="1"/>
    <col min="72" max="72" width="16.33203125" style="2" customWidth="1"/>
    <col min="73" max="73" width="15.83203125" style="2" customWidth="1"/>
    <col min="74" max="74" width="15.1640625" style="2" customWidth="1"/>
    <col min="75" max="75" width="14.1640625" style="2" customWidth="1"/>
    <col min="76" max="76" width="17.6640625" style="2" customWidth="1"/>
    <col min="77" max="77" width="14.6640625" style="2" customWidth="1"/>
    <col min="78" max="78" width="13.1640625" style="2" customWidth="1"/>
    <col min="79" max="79" width="15.6640625" style="2" customWidth="1"/>
    <col min="80" max="80" width="17" style="2" customWidth="1"/>
    <col min="81" max="81" width="14.33203125" style="2" customWidth="1"/>
    <col min="82" max="83" width="15.6640625" style="2" customWidth="1"/>
    <col min="84" max="84" width="15.83203125" style="2" customWidth="1"/>
    <col min="85" max="85" width="11.6640625" style="2" bestFit="1" customWidth="1"/>
    <col min="86" max="86" width="10.6640625" style="2" bestFit="1" customWidth="1"/>
    <col min="87" max="87" width="15.1640625" style="2" customWidth="1"/>
    <col min="88" max="88" width="14.6640625" style="2" customWidth="1"/>
    <col min="89" max="89" width="16.6640625" style="2" customWidth="1"/>
    <col min="90" max="90" width="17.1640625" style="2" customWidth="1"/>
    <col min="91" max="92" width="14.6640625" style="2" customWidth="1"/>
    <col min="93" max="93" width="16.6640625" style="2" customWidth="1"/>
    <col min="94" max="94" width="14.33203125" style="2" customWidth="1"/>
    <col min="95" max="95" width="11.6640625" style="2" customWidth="1"/>
    <col min="96" max="96" width="11.1640625" style="2" customWidth="1"/>
    <col min="97" max="97" width="12.33203125" style="2" customWidth="1"/>
    <col min="98" max="98" width="10.83203125" style="2" customWidth="1"/>
    <col min="99" max="100" width="11.33203125" style="2" customWidth="1"/>
    <col min="101" max="101" width="10.1640625" style="2" customWidth="1"/>
    <col min="102" max="102" width="8.83203125" style="2" bestFit="1" customWidth="1"/>
    <col min="103" max="103" width="10.6640625" style="2" customWidth="1"/>
    <col min="104" max="105" width="13" style="2" customWidth="1"/>
    <col min="106" max="106" width="12.33203125" style="2" customWidth="1"/>
    <col min="107" max="16384" width="8.6640625" style="2"/>
  </cols>
  <sheetData>
    <row r="1" spans="1:106" ht="16" x14ac:dyDescent="0.2">
      <c r="A1" s="4" t="s">
        <v>315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2"/>
      <c r="AZ1" s="182"/>
      <c r="BA1" s="182"/>
      <c r="BB1" s="182"/>
      <c r="BC1" s="182"/>
      <c r="BD1" s="182"/>
      <c r="BE1" s="182"/>
      <c r="BF1" s="182"/>
      <c r="BG1" s="182"/>
      <c r="BH1" s="182"/>
      <c r="BI1" s="182"/>
      <c r="BJ1" s="182"/>
      <c r="BK1" s="182"/>
      <c r="BL1" s="182"/>
      <c r="BM1" s="182"/>
      <c r="BN1" s="182"/>
      <c r="BO1" s="182"/>
      <c r="BP1" s="182"/>
      <c r="BQ1" s="182"/>
      <c r="BR1" s="182"/>
      <c r="BS1" s="182"/>
      <c r="BT1" s="182"/>
      <c r="BU1" s="182"/>
      <c r="BV1" s="182"/>
      <c r="BW1" s="182"/>
      <c r="BX1" s="182"/>
      <c r="BY1" s="182"/>
      <c r="BZ1" s="182"/>
      <c r="CA1" s="182"/>
      <c r="CB1" s="182"/>
      <c r="CC1" s="182"/>
      <c r="CD1" s="182"/>
      <c r="CE1" s="182"/>
      <c r="CF1" s="182"/>
      <c r="CG1" s="182"/>
      <c r="CH1" s="182"/>
      <c r="CI1" s="182"/>
      <c r="CJ1" s="182"/>
      <c r="CK1" s="182"/>
      <c r="CL1" s="182"/>
      <c r="CM1" s="182"/>
    </row>
    <row r="2" spans="1:106" ht="64" x14ac:dyDescent="0.2">
      <c r="A2" s="60" t="s">
        <v>274</v>
      </c>
      <c r="B2" s="61" t="s">
        <v>316</v>
      </c>
      <c r="C2" s="62" t="s">
        <v>168</v>
      </c>
      <c r="D2" s="63" t="s">
        <v>317</v>
      </c>
      <c r="E2" s="182" t="s">
        <v>318</v>
      </c>
      <c r="F2" s="182"/>
      <c r="G2" s="64" t="s">
        <v>343</v>
      </c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  <c r="BN2" s="182"/>
      <c r="BO2" s="182"/>
      <c r="BP2" s="182"/>
      <c r="BQ2" s="182"/>
      <c r="BR2" s="182"/>
      <c r="BS2" s="182"/>
      <c r="BT2" s="182"/>
      <c r="BU2" s="182"/>
      <c r="BV2" s="182"/>
      <c r="BW2" s="182"/>
      <c r="BX2" s="182"/>
      <c r="BY2" s="182"/>
      <c r="BZ2" s="182"/>
      <c r="CA2" s="182"/>
      <c r="CB2" s="182"/>
      <c r="CC2" s="182"/>
      <c r="CD2" s="182"/>
      <c r="CE2" s="182"/>
      <c r="CF2" s="182"/>
      <c r="CG2" s="182"/>
      <c r="CH2" s="182"/>
      <c r="CI2" s="182"/>
      <c r="CJ2" s="182"/>
      <c r="CK2" s="182"/>
    </row>
    <row r="3" spans="1:106" ht="29.5" customHeight="1" x14ac:dyDescent="0.2">
      <c r="A3" s="65"/>
      <c r="B3" s="65" t="s">
        <v>2</v>
      </c>
      <c r="C3" s="65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 t="s">
        <v>0</v>
      </c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 t="s">
        <v>3</v>
      </c>
      <c r="AV3" s="182"/>
      <c r="AW3" s="182"/>
      <c r="AX3" s="182"/>
      <c r="AY3" s="182"/>
      <c r="AZ3" s="182"/>
      <c r="BA3" s="182"/>
      <c r="BB3" s="182" t="s">
        <v>226</v>
      </c>
      <c r="BC3" s="182"/>
      <c r="BD3" s="182"/>
      <c r="BE3" s="182"/>
      <c r="BF3" s="182" t="s">
        <v>230</v>
      </c>
      <c r="BG3" s="182"/>
      <c r="BH3" s="182"/>
      <c r="BI3" s="270" t="s">
        <v>231</v>
      </c>
      <c r="BJ3" s="270"/>
      <c r="BK3" s="270"/>
      <c r="BL3" s="311" t="s">
        <v>232</v>
      </c>
      <c r="BM3" s="311"/>
      <c r="BN3" s="311"/>
      <c r="BO3" s="270" t="s">
        <v>233</v>
      </c>
      <c r="BP3" s="270"/>
      <c r="BQ3" s="270"/>
      <c r="BR3" s="270" t="s">
        <v>234</v>
      </c>
      <c r="BS3" s="270"/>
      <c r="BT3" s="270"/>
      <c r="BU3" s="270" t="s">
        <v>235</v>
      </c>
      <c r="BV3" s="270"/>
      <c r="BW3" s="270"/>
      <c r="BX3" s="182"/>
      <c r="BY3" s="182"/>
      <c r="BZ3" s="182"/>
      <c r="CA3" s="182"/>
      <c r="CB3" s="182"/>
      <c r="CC3" s="182"/>
      <c r="CD3" s="182"/>
      <c r="CE3" s="182"/>
      <c r="CF3" s="182"/>
      <c r="CG3" s="182"/>
      <c r="CH3" s="182"/>
      <c r="CI3" s="182"/>
      <c r="CJ3" s="182"/>
      <c r="CK3" s="182"/>
      <c r="CL3" s="182"/>
      <c r="CM3" s="182"/>
    </row>
    <row r="4" spans="1:106" s="4" customFormat="1" ht="51.75" customHeight="1" x14ac:dyDescent="0.2">
      <c r="A4" s="184" t="s">
        <v>6</v>
      </c>
      <c r="B4" s="184" t="s">
        <v>193</v>
      </c>
      <c r="C4" s="66" t="s">
        <v>193</v>
      </c>
      <c r="D4" s="184" t="s">
        <v>169</v>
      </c>
      <c r="E4" s="66" t="s">
        <v>321</v>
      </c>
      <c r="F4" s="184" t="s">
        <v>170</v>
      </c>
      <c r="G4" s="66" t="s">
        <v>170</v>
      </c>
      <c r="H4" s="184" t="s">
        <v>171</v>
      </c>
      <c r="I4" s="66" t="s">
        <v>171</v>
      </c>
      <c r="J4" s="184" t="s">
        <v>172</v>
      </c>
      <c r="K4" s="184" t="s">
        <v>173</v>
      </c>
      <c r="L4" s="184" t="s">
        <v>174</v>
      </c>
      <c r="M4" s="184" t="s">
        <v>187</v>
      </c>
      <c r="N4" s="184" t="s">
        <v>188</v>
      </c>
      <c r="O4" s="184" t="s">
        <v>189</v>
      </c>
      <c r="P4" s="184" t="s">
        <v>190</v>
      </c>
      <c r="Q4" s="66" t="s">
        <v>194</v>
      </c>
      <c r="R4" s="66" t="s">
        <v>196</v>
      </c>
      <c r="S4" s="184" t="s">
        <v>191</v>
      </c>
      <c r="T4" s="66" t="s">
        <v>195</v>
      </c>
      <c r="U4" s="184" t="s">
        <v>192</v>
      </c>
      <c r="V4" s="66" t="s">
        <v>197</v>
      </c>
      <c r="W4" s="8" t="s">
        <v>276</v>
      </c>
      <c r="X4" s="8" t="s">
        <v>199</v>
      </c>
      <c r="Y4" s="8" t="s">
        <v>200</v>
      </c>
      <c r="Z4" s="8" t="s">
        <v>201</v>
      </c>
      <c r="AA4" s="8" t="s">
        <v>202</v>
      </c>
      <c r="AB4" s="9" t="s">
        <v>193</v>
      </c>
      <c r="AC4" s="9" t="s">
        <v>277</v>
      </c>
      <c r="AD4" s="10" t="s">
        <v>203</v>
      </c>
      <c r="AE4" s="9" t="s">
        <v>193</v>
      </c>
      <c r="AF4" s="9" t="s">
        <v>204</v>
      </c>
      <c r="AG4" s="10" t="s">
        <v>205</v>
      </c>
      <c r="AH4" s="184" t="s">
        <v>278</v>
      </c>
      <c r="AI4" s="66" t="s">
        <v>216</v>
      </c>
      <c r="AJ4" s="66" t="s">
        <v>217</v>
      </c>
      <c r="AK4" s="184" t="s">
        <v>206</v>
      </c>
      <c r="AL4" s="184" t="s">
        <v>207</v>
      </c>
      <c r="AM4" s="184" t="s">
        <v>208</v>
      </c>
      <c r="AN4" s="184" t="s">
        <v>209</v>
      </c>
      <c r="AO4" s="184" t="s">
        <v>210</v>
      </c>
      <c r="AP4" s="66" t="s">
        <v>209</v>
      </c>
      <c r="AQ4" s="66" t="s">
        <v>210</v>
      </c>
      <c r="AR4" s="8" t="s">
        <v>218</v>
      </c>
      <c r="AS4" s="8" t="s">
        <v>211</v>
      </c>
      <c r="AT4" s="8" t="s">
        <v>212</v>
      </c>
      <c r="AU4" s="8" t="s">
        <v>220</v>
      </c>
      <c r="AV4" s="8" t="s">
        <v>221</v>
      </c>
      <c r="AW4" s="184" t="s">
        <v>222</v>
      </c>
      <c r="AX4" s="184" t="s">
        <v>223</v>
      </c>
      <c r="AY4" s="184" t="s">
        <v>224</v>
      </c>
      <c r="AZ4" s="184" t="s">
        <v>276</v>
      </c>
      <c r="BA4" s="184" t="s">
        <v>225</v>
      </c>
      <c r="BB4" s="184" t="s">
        <v>279</v>
      </c>
      <c r="BC4" s="184" t="s">
        <v>227</v>
      </c>
      <c r="BD4" s="184" t="s">
        <v>228</v>
      </c>
      <c r="BE4" s="184" t="s">
        <v>229</v>
      </c>
      <c r="BF4" s="8" t="s">
        <v>236</v>
      </c>
      <c r="BG4" s="8" t="s">
        <v>237</v>
      </c>
      <c r="BH4" s="8" t="s">
        <v>238</v>
      </c>
      <c r="BI4" s="184" t="s">
        <v>239</v>
      </c>
      <c r="BJ4" s="184" t="s">
        <v>240</v>
      </c>
      <c r="BK4" s="184" t="s">
        <v>241</v>
      </c>
      <c r="BL4" s="11" t="s">
        <v>239</v>
      </c>
      <c r="BM4" s="11" t="s">
        <v>240</v>
      </c>
      <c r="BN4" s="11" t="s">
        <v>241</v>
      </c>
      <c r="BO4" s="184" t="s">
        <v>242</v>
      </c>
      <c r="BP4" s="184" t="s">
        <v>240</v>
      </c>
      <c r="BQ4" s="184" t="s">
        <v>241</v>
      </c>
      <c r="BR4" s="184" t="s">
        <v>242</v>
      </c>
      <c r="BS4" s="184" t="s">
        <v>240</v>
      </c>
      <c r="BT4" s="184" t="s">
        <v>243</v>
      </c>
      <c r="BU4" s="184" t="s">
        <v>244</v>
      </c>
      <c r="BV4" s="184" t="s">
        <v>240</v>
      </c>
      <c r="BW4" s="184" t="s">
        <v>241</v>
      </c>
      <c r="BX4" s="12" t="s">
        <v>327</v>
      </c>
      <c r="BY4" s="12" t="s">
        <v>175</v>
      </c>
      <c r="BZ4" s="12" t="s">
        <v>176</v>
      </c>
      <c r="CA4" s="12" t="s">
        <v>177</v>
      </c>
      <c r="CB4" s="12" t="s">
        <v>178</v>
      </c>
      <c r="CC4" s="12" t="s">
        <v>179</v>
      </c>
      <c r="CD4" s="12" t="s">
        <v>180</v>
      </c>
      <c r="CE4" s="12" t="s">
        <v>181</v>
      </c>
      <c r="CF4" s="12" t="s">
        <v>182</v>
      </c>
      <c r="CG4" s="184" t="s">
        <v>183</v>
      </c>
      <c r="CH4" s="184" t="s">
        <v>184</v>
      </c>
      <c r="CI4" s="184" t="s">
        <v>12</v>
      </c>
      <c r="CJ4" s="184" t="s">
        <v>14</v>
      </c>
      <c r="CK4" s="184" t="s">
        <v>16</v>
      </c>
      <c r="CL4" s="184" t="s">
        <v>185</v>
      </c>
      <c r="CM4" s="184" t="s">
        <v>186</v>
      </c>
      <c r="CN4" s="184" t="s">
        <v>245</v>
      </c>
      <c r="CO4" s="184" t="s">
        <v>246</v>
      </c>
      <c r="CP4" s="184" t="s">
        <v>85</v>
      </c>
      <c r="CQ4" s="184" t="s">
        <v>247</v>
      </c>
      <c r="CR4" s="184" t="s">
        <v>248</v>
      </c>
      <c r="CS4" s="184" t="s">
        <v>249</v>
      </c>
      <c r="CT4" s="184" t="s">
        <v>250</v>
      </c>
      <c r="CU4" s="184" t="s">
        <v>251</v>
      </c>
      <c r="CV4" s="184" t="s">
        <v>252</v>
      </c>
      <c r="CW4" s="184" t="s">
        <v>253</v>
      </c>
      <c r="CX4" s="47" t="s">
        <v>254</v>
      </c>
      <c r="CY4" s="47" t="s">
        <v>255</v>
      </c>
      <c r="CZ4" s="47" t="s">
        <v>256</v>
      </c>
      <c r="DA4" s="47" t="s">
        <v>257</v>
      </c>
      <c r="DB4" s="47" t="s">
        <v>258</v>
      </c>
    </row>
    <row r="5" spans="1:106" ht="28" customHeight="1" x14ac:dyDescent="0.2">
      <c r="A5" s="13" t="s">
        <v>198</v>
      </c>
      <c r="B5" s="14">
        <v>24337</v>
      </c>
      <c r="C5" s="67">
        <v>140590</v>
      </c>
      <c r="D5" s="15">
        <v>29</v>
      </c>
      <c r="E5" s="182">
        <v>0.2</v>
      </c>
      <c r="F5" s="14">
        <v>11944</v>
      </c>
      <c r="G5" s="68">
        <v>66992</v>
      </c>
      <c r="H5" s="14">
        <v>12393</v>
      </c>
      <c r="I5" s="68">
        <v>73598</v>
      </c>
      <c r="J5" s="16">
        <v>0.49080000000000001</v>
      </c>
      <c r="K5" s="16">
        <v>0.50919999999999999</v>
      </c>
      <c r="L5" s="69">
        <v>38.799999999999997</v>
      </c>
      <c r="M5" s="14">
        <v>24134</v>
      </c>
      <c r="N5" s="14">
        <v>3578</v>
      </c>
      <c r="O5" s="16">
        <v>0.14829999999999999</v>
      </c>
      <c r="P5" s="15">
        <v>846</v>
      </c>
      <c r="Q5" s="182">
        <v>173</v>
      </c>
      <c r="R5" s="182">
        <v>134</v>
      </c>
      <c r="S5" s="15">
        <v>0</v>
      </c>
      <c r="T5" s="182">
        <v>18.2</v>
      </c>
      <c r="U5" s="15">
        <v>0</v>
      </c>
      <c r="V5" s="182">
        <v>14.1</v>
      </c>
      <c r="W5" s="14">
        <v>18351</v>
      </c>
      <c r="X5" s="14">
        <v>3633</v>
      </c>
      <c r="Y5" s="16">
        <v>0.19800000000000001</v>
      </c>
      <c r="Z5" s="14">
        <v>2617</v>
      </c>
      <c r="AA5" s="16">
        <v>0.1426</v>
      </c>
      <c r="AB5" s="14">
        <v>24388</v>
      </c>
      <c r="AC5" s="15">
        <v>169</v>
      </c>
      <c r="AD5" s="15">
        <v>692.96</v>
      </c>
      <c r="AE5" s="14">
        <v>24310</v>
      </c>
      <c r="AF5" s="15">
        <v>70</v>
      </c>
      <c r="AG5" s="15">
        <v>287.89999999999998</v>
      </c>
      <c r="AH5" s="14">
        <v>20218</v>
      </c>
      <c r="AI5" s="68">
        <v>1480</v>
      </c>
      <c r="AJ5" s="70">
        <v>1052.7</v>
      </c>
      <c r="AK5" s="15" t="s">
        <v>213</v>
      </c>
      <c r="AL5" s="15" t="s">
        <v>302</v>
      </c>
      <c r="AM5" s="69">
        <v>258</v>
      </c>
      <c r="AN5" s="69" t="s">
        <v>215</v>
      </c>
      <c r="AO5" s="69" t="s">
        <v>215</v>
      </c>
      <c r="AP5" s="182">
        <v>12</v>
      </c>
      <c r="AQ5" s="182">
        <v>6.9</v>
      </c>
      <c r="AR5" s="14">
        <v>17631</v>
      </c>
      <c r="AS5" s="14">
        <v>5307</v>
      </c>
      <c r="AT5" s="16">
        <v>0.3</v>
      </c>
      <c r="AU5" s="14">
        <v>22383</v>
      </c>
      <c r="AV5" s="15">
        <v>74.14</v>
      </c>
      <c r="AW5" s="71">
        <v>23230</v>
      </c>
      <c r="AX5" s="69">
        <v>126</v>
      </c>
      <c r="AY5" s="69">
        <v>108.5</v>
      </c>
      <c r="AZ5" s="71">
        <v>18351</v>
      </c>
      <c r="BA5" s="69">
        <v>5.2</v>
      </c>
      <c r="BB5" s="14">
        <v>24388</v>
      </c>
      <c r="BC5" s="15">
        <v>11</v>
      </c>
      <c r="BD5" s="17">
        <v>2217.1</v>
      </c>
      <c r="BE5" s="15">
        <v>45.1</v>
      </c>
      <c r="BF5" s="14">
        <v>1686</v>
      </c>
      <c r="BG5" s="15">
        <v>99</v>
      </c>
      <c r="BH5" s="16">
        <v>5.8700000000000002E-2</v>
      </c>
      <c r="BI5" s="68">
        <v>14716</v>
      </c>
      <c r="BJ5" s="182">
        <v>21</v>
      </c>
      <c r="BK5" s="182">
        <v>142.69999999999999</v>
      </c>
      <c r="BL5" s="15" t="s">
        <v>215</v>
      </c>
      <c r="BM5" s="15" t="s">
        <v>214</v>
      </c>
      <c r="BN5" s="15" t="s">
        <v>214</v>
      </c>
      <c r="BO5" s="68">
        <v>26397</v>
      </c>
      <c r="BP5" s="182">
        <v>17</v>
      </c>
      <c r="BQ5" s="182">
        <v>64.400000000000006</v>
      </c>
      <c r="BR5" s="14">
        <v>29447</v>
      </c>
      <c r="BS5" s="15">
        <v>24</v>
      </c>
      <c r="BT5" s="15">
        <v>81.5</v>
      </c>
      <c r="BU5" s="68">
        <v>13416</v>
      </c>
      <c r="BV5" s="182">
        <v>15</v>
      </c>
      <c r="BW5" s="182">
        <v>111.8</v>
      </c>
      <c r="BX5" s="18"/>
      <c r="BY5" s="6">
        <v>1484</v>
      </c>
      <c r="BZ5" s="6">
        <v>4607</v>
      </c>
      <c r="CA5" s="6">
        <v>2662</v>
      </c>
      <c r="CB5" s="6">
        <v>2191</v>
      </c>
      <c r="CC5" s="6">
        <v>3070</v>
      </c>
      <c r="CD5" s="6">
        <v>2947</v>
      </c>
      <c r="CE5" s="6">
        <v>3409</v>
      </c>
      <c r="CF5" s="6">
        <v>3967</v>
      </c>
      <c r="CG5" s="7">
        <v>12127</v>
      </c>
      <c r="CH5" s="7">
        <v>11095</v>
      </c>
      <c r="CI5" s="6">
        <v>122</v>
      </c>
      <c r="CJ5" s="6">
        <v>0</v>
      </c>
      <c r="CK5" s="6">
        <v>0</v>
      </c>
      <c r="CL5" s="6">
        <v>323</v>
      </c>
      <c r="CM5" s="6">
        <v>670</v>
      </c>
      <c r="CN5" s="37">
        <v>8913</v>
      </c>
      <c r="CO5" s="38">
        <v>77372</v>
      </c>
      <c r="CP5" s="38">
        <v>50321</v>
      </c>
      <c r="CQ5" s="42">
        <v>25335</v>
      </c>
      <c r="CR5" s="42">
        <v>49137</v>
      </c>
      <c r="CS5" s="42">
        <v>59615</v>
      </c>
      <c r="CT5" s="42">
        <v>113323</v>
      </c>
      <c r="CU5" s="42">
        <v>105848</v>
      </c>
      <c r="CV5" s="42">
        <v>69282</v>
      </c>
      <c r="CW5" s="42">
        <v>95369</v>
      </c>
      <c r="CX5" s="46">
        <v>0.27800000000000002</v>
      </c>
      <c r="CY5" s="46">
        <v>0.21709999999999999</v>
      </c>
      <c r="CZ5" s="46">
        <v>0.25979999999999998</v>
      </c>
      <c r="DA5" s="46">
        <v>0.19989999999999999</v>
      </c>
      <c r="DB5" s="46">
        <v>4.5100000000000001E-2</v>
      </c>
    </row>
    <row r="6" spans="1:106" ht="31" customHeight="1" x14ac:dyDescent="0.2">
      <c r="A6" s="20" t="s">
        <v>328</v>
      </c>
      <c r="B6" s="21">
        <v>156921</v>
      </c>
      <c r="C6" s="68">
        <v>958602</v>
      </c>
      <c r="D6" s="22">
        <v>541</v>
      </c>
      <c r="E6" s="182">
        <v>1.5</v>
      </c>
      <c r="F6" s="21">
        <v>76942</v>
      </c>
      <c r="G6" s="68">
        <v>468642</v>
      </c>
      <c r="H6" s="21">
        <v>79979</v>
      </c>
      <c r="I6" s="68">
        <v>489960</v>
      </c>
      <c r="J6" s="23">
        <v>0.49030000000000001</v>
      </c>
      <c r="K6" s="23">
        <v>0.50970000000000004</v>
      </c>
      <c r="L6" s="182">
        <v>37.4</v>
      </c>
      <c r="M6" s="21">
        <v>153471</v>
      </c>
      <c r="N6" s="21">
        <v>20021</v>
      </c>
      <c r="O6" s="23">
        <v>0.1305</v>
      </c>
      <c r="P6" s="21">
        <v>4971</v>
      </c>
      <c r="Q6" s="182">
        <v>398</v>
      </c>
      <c r="R6" s="182">
        <v>268</v>
      </c>
      <c r="S6" s="22">
        <v>12</v>
      </c>
      <c r="T6" s="182">
        <v>5.9</v>
      </c>
      <c r="U6" s="22">
        <v>2.41</v>
      </c>
      <c r="V6" s="182">
        <v>4</v>
      </c>
      <c r="W6" s="21">
        <v>120343</v>
      </c>
      <c r="X6" s="21">
        <v>15524</v>
      </c>
      <c r="Y6" s="23">
        <v>0.129</v>
      </c>
      <c r="Z6" s="21">
        <v>19831</v>
      </c>
      <c r="AA6" s="23">
        <v>0.1648</v>
      </c>
      <c r="AB6" s="21">
        <v>162419</v>
      </c>
      <c r="AC6" s="22">
        <v>630</v>
      </c>
      <c r="AD6" s="22">
        <v>387.89</v>
      </c>
      <c r="AE6" s="21">
        <v>159639</v>
      </c>
      <c r="AF6" s="22">
        <v>179</v>
      </c>
      <c r="AG6" s="22">
        <v>112.1</v>
      </c>
      <c r="AH6" s="21">
        <v>134743</v>
      </c>
      <c r="AI6" s="68">
        <v>4117</v>
      </c>
      <c r="AJ6" s="182">
        <v>429.5</v>
      </c>
      <c r="AK6" s="22">
        <v>10</v>
      </c>
      <c r="AL6" s="22">
        <v>7.4</v>
      </c>
      <c r="AM6" s="68">
        <v>1701</v>
      </c>
      <c r="AN6" s="182" t="s">
        <v>215</v>
      </c>
      <c r="AO6" s="182" t="s">
        <v>215</v>
      </c>
      <c r="AP6" s="182">
        <v>55</v>
      </c>
      <c r="AQ6" s="182">
        <v>5.0999999999999996</v>
      </c>
      <c r="AR6" s="21">
        <v>116039</v>
      </c>
      <c r="AS6" s="21">
        <v>38641</v>
      </c>
      <c r="AT6" s="23">
        <v>0.33200000000000002</v>
      </c>
      <c r="AU6" s="21">
        <v>156714</v>
      </c>
      <c r="AV6" s="22">
        <v>80.459999999999994</v>
      </c>
      <c r="AW6" s="68">
        <v>158688</v>
      </c>
      <c r="AX6" s="182">
        <v>396</v>
      </c>
      <c r="AY6" s="182">
        <v>49.9</v>
      </c>
      <c r="AZ6" s="68">
        <v>120343</v>
      </c>
      <c r="BA6" s="182">
        <v>4.8</v>
      </c>
      <c r="BB6" s="21">
        <v>162419</v>
      </c>
      <c r="BC6" s="22">
        <v>215</v>
      </c>
      <c r="BD6" s="22">
        <v>755.4</v>
      </c>
      <c r="BE6" s="22">
        <v>132.4</v>
      </c>
      <c r="BF6" s="21">
        <v>8219</v>
      </c>
      <c r="BG6" s="22">
        <v>314</v>
      </c>
      <c r="BH6" s="23">
        <v>3.8199999999999998E-2</v>
      </c>
      <c r="BI6" s="68">
        <v>90694</v>
      </c>
      <c r="BJ6" s="182">
        <v>115</v>
      </c>
      <c r="BK6" s="182">
        <v>126.8</v>
      </c>
      <c r="BL6" s="21">
        <v>74074</v>
      </c>
      <c r="BM6" s="22">
        <v>4</v>
      </c>
      <c r="BN6" s="22">
        <v>5.4</v>
      </c>
      <c r="BO6" s="68">
        <v>165384</v>
      </c>
      <c r="BP6" s="182">
        <v>43</v>
      </c>
      <c r="BQ6" s="182">
        <v>26</v>
      </c>
      <c r="BR6" s="21">
        <v>164609</v>
      </c>
      <c r="BS6" s="22">
        <v>80</v>
      </c>
      <c r="BT6" s="22">
        <v>48.6</v>
      </c>
      <c r="BU6" s="68">
        <v>84967</v>
      </c>
      <c r="BV6" s="182">
        <v>104</v>
      </c>
      <c r="BW6" s="182">
        <v>122.4</v>
      </c>
      <c r="BX6" s="24"/>
      <c r="BY6" s="25">
        <v>9500</v>
      </c>
      <c r="BZ6" s="25">
        <v>29755</v>
      </c>
      <c r="CA6" s="25">
        <v>12875</v>
      </c>
      <c r="CB6" s="25">
        <v>21030</v>
      </c>
      <c r="CC6" s="25">
        <v>22631</v>
      </c>
      <c r="CD6" s="25">
        <v>19907</v>
      </c>
      <c r="CE6" s="25">
        <v>18281</v>
      </c>
      <c r="CF6" s="25">
        <v>22942</v>
      </c>
      <c r="CG6" s="68">
        <v>108715</v>
      </c>
      <c r="CH6" s="68">
        <v>26560</v>
      </c>
      <c r="CI6" s="68">
        <v>6850</v>
      </c>
      <c r="CJ6" s="182">
        <v>375</v>
      </c>
      <c r="CK6" s="182">
        <v>5</v>
      </c>
      <c r="CL6" s="68">
        <v>4017</v>
      </c>
      <c r="CM6" s="68">
        <v>10399</v>
      </c>
      <c r="CN6" s="39">
        <v>50056</v>
      </c>
      <c r="CO6" s="40">
        <v>114331</v>
      </c>
      <c r="CP6" s="40">
        <v>92571</v>
      </c>
      <c r="CQ6" s="44">
        <v>47156</v>
      </c>
      <c r="CR6" s="44">
        <v>97339</v>
      </c>
      <c r="CS6" s="44">
        <v>105722</v>
      </c>
      <c r="CT6" s="44">
        <v>135548</v>
      </c>
      <c r="CU6" s="44">
        <v>117500</v>
      </c>
      <c r="CV6" s="44">
        <v>126131</v>
      </c>
      <c r="CW6" s="44">
        <v>114696</v>
      </c>
      <c r="CX6" s="45">
        <v>0.1045</v>
      </c>
      <c r="CY6" s="45">
        <v>0.13400000000000001</v>
      </c>
      <c r="CZ6" s="45">
        <v>0.29759999999999998</v>
      </c>
      <c r="DA6" s="45">
        <v>0.32850000000000001</v>
      </c>
      <c r="DB6" s="45">
        <v>0.13550000000000001</v>
      </c>
    </row>
    <row r="7" spans="1:106" ht="32.5" customHeight="1" x14ac:dyDescent="0.2">
      <c r="A7" s="13" t="s">
        <v>329</v>
      </c>
      <c r="B7" s="14">
        <v>22907</v>
      </c>
      <c r="C7" s="68">
        <v>136529</v>
      </c>
      <c r="D7" s="15">
        <v>34</v>
      </c>
      <c r="E7" s="182">
        <v>0.2</v>
      </c>
      <c r="F7" s="14">
        <v>11621</v>
      </c>
      <c r="G7" s="68">
        <v>68044</v>
      </c>
      <c r="H7" s="14">
        <v>11286</v>
      </c>
      <c r="I7" s="68">
        <v>68485</v>
      </c>
      <c r="J7" s="16">
        <v>0.50729999999999997</v>
      </c>
      <c r="K7" s="16">
        <v>0.49270000000000003</v>
      </c>
      <c r="L7" s="69">
        <v>37.4</v>
      </c>
      <c r="M7" s="14">
        <v>22045</v>
      </c>
      <c r="N7" s="14">
        <v>4687</v>
      </c>
      <c r="O7" s="16">
        <v>0.21260000000000001</v>
      </c>
      <c r="P7" s="15">
        <v>664</v>
      </c>
      <c r="Q7" s="182">
        <v>203</v>
      </c>
      <c r="R7" s="182">
        <v>167</v>
      </c>
      <c r="S7" s="15">
        <v>31</v>
      </c>
      <c r="T7" s="182">
        <v>21.5</v>
      </c>
      <c r="U7" s="15">
        <v>46.69</v>
      </c>
      <c r="V7" s="182">
        <v>17.7</v>
      </c>
      <c r="W7" s="14">
        <v>17112</v>
      </c>
      <c r="X7" s="14">
        <v>4038</v>
      </c>
      <c r="Y7" s="16">
        <v>0.23599999999999999</v>
      </c>
      <c r="Z7" s="14">
        <v>2514</v>
      </c>
      <c r="AA7" s="16">
        <v>0.1469</v>
      </c>
      <c r="AB7" s="14">
        <v>22929</v>
      </c>
      <c r="AC7" s="15">
        <v>215</v>
      </c>
      <c r="AD7" s="15">
        <v>937.68</v>
      </c>
      <c r="AE7" s="14">
        <v>22716</v>
      </c>
      <c r="AF7" s="15">
        <v>72</v>
      </c>
      <c r="AG7" s="15">
        <v>317</v>
      </c>
      <c r="AH7" s="14">
        <v>18974</v>
      </c>
      <c r="AI7" s="68">
        <v>2544</v>
      </c>
      <c r="AJ7" s="70">
        <v>1130.9000000000001</v>
      </c>
      <c r="AK7" s="15" t="s">
        <v>213</v>
      </c>
      <c r="AL7" s="15" t="s">
        <v>302</v>
      </c>
      <c r="AM7" s="69">
        <v>277</v>
      </c>
      <c r="AN7" s="69" t="s">
        <v>215</v>
      </c>
      <c r="AO7" s="69" t="s">
        <v>215</v>
      </c>
      <c r="AP7" s="182">
        <v>14</v>
      </c>
      <c r="AQ7" s="182">
        <v>8</v>
      </c>
      <c r="AR7" s="14">
        <v>16352</v>
      </c>
      <c r="AS7" s="14">
        <v>4791</v>
      </c>
      <c r="AT7" s="16">
        <v>0.29299999999999998</v>
      </c>
      <c r="AU7" s="14">
        <v>22646</v>
      </c>
      <c r="AV7" s="15">
        <v>73</v>
      </c>
      <c r="AW7" s="71">
        <v>22682</v>
      </c>
      <c r="AX7" s="69">
        <v>152</v>
      </c>
      <c r="AY7" s="69">
        <v>134</v>
      </c>
      <c r="AZ7" s="71">
        <v>17112</v>
      </c>
      <c r="BA7" s="69">
        <v>5.6</v>
      </c>
      <c r="BB7" s="14">
        <v>22929</v>
      </c>
      <c r="BC7" s="15">
        <v>23</v>
      </c>
      <c r="BD7" s="15">
        <v>996.9</v>
      </c>
      <c r="BE7" s="15">
        <v>100.3</v>
      </c>
      <c r="BF7" s="14">
        <v>1151</v>
      </c>
      <c r="BG7" s="15">
        <v>113</v>
      </c>
      <c r="BH7" s="16">
        <v>9.8199999999999996E-2</v>
      </c>
      <c r="BI7" s="68">
        <v>15340</v>
      </c>
      <c r="BJ7" s="182">
        <v>16</v>
      </c>
      <c r="BK7" s="182">
        <v>104.3</v>
      </c>
      <c r="BL7" s="15" t="s">
        <v>215</v>
      </c>
      <c r="BM7" s="15" t="s">
        <v>214</v>
      </c>
      <c r="BN7" s="15" t="s">
        <v>214</v>
      </c>
      <c r="BO7" s="68">
        <v>27173</v>
      </c>
      <c r="BP7" s="182">
        <v>15</v>
      </c>
      <c r="BQ7" s="182">
        <v>55.2</v>
      </c>
      <c r="BR7" s="14">
        <v>28822</v>
      </c>
      <c r="BS7" s="15">
        <v>23</v>
      </c>
      <c r="BT7" s="15">
        <v>79.8</v>
      </c>
      <c r="BU7" s="68">
        <v>13266</v>
      </c>
      <c r="BV7" s="182">
        <v>16</v>
      </c>
      <c r="BW7" s="182">
        <v>120.6</v>
      </c>
      <c r="BX7" s="18"/>
      <c r="BY7" s="19">
        <v>1585</v>
      </c>
      <c r="BZ7" s="19">
        <v>4132</v>
      </c>
      <c r="CA7" s="19">
        <v>1917</v>
      </c>
      <c r="CB7" s="19">
        <v>3249</v>
      </c>
      <c r="CC7" s="19">
        <v>2881</v>
      </c>
      <c r="CD7" s="19">
        <v>2571</v>
      </c>
      <c r="CE7" s="19">
        <v>2907</v>
      </c>
      <c r="CF7" s="19">
        <v>3665</v>
      </c>
      <c r="CG7" s="68">
        <v>13861</v>
      </c>
      <c r="CH7" s="68">
        <v>7345</v>
      </c>
      <c r="CI7" s="182">
        <v>47</v>
      </c>
      <c r="CJ7" s="182">
        <v>84</v>
      </c>
      <c r="CK7" s="182">
        <v>0</v>
      </c>
      <c r="CL7" s="182">
        <v>350</v>
      </c>
      <c r="CM7" s="68">
        <v>1220</v>
      </c>
      <c r="CN7" s="37">
        <v>8321</v>
      </c>
      <c r="CO7" s="38">
        <v>62820</v>
      </c>
      <c r="CP7" s="38">
        <v>47905</v>
      </c>
      <c r="CQ7" s="42">
        <v>25012</v>
      </c>
      <c r="CR7" s="42">
        <v>51113</v>
      </c>
      <c r="CS7" s="42">
        <v>53969</v>
      </c>
      <c r="CT7" s="42">
        <v>59097</v>
      </c>
      <c r="CU7" s="42">
        <v>77353</v>
      </c>
      <c r="CV7" s="42">
        <v>61429</v>
      </c>
      <c r="CW7" s="42">
        <v>82188</v>
      </c>
      <c r="CX7" s="46">
        <v>0.247</v>
      </c>
      <c r="CY7" s="46">
        <v>0.28129999999999999</v>
      </c>
      <c r="CZ7" s="46">
        <v>0.30690000000000001</v>
      </c>
      <c r="DA7" s="46">
        <v>0.14230000000000001</v>
      </c>
      <c r="DB7" s="46">
        <v>2.2499999999999999E-2</v>
      </c>
    </row>
    <row r="8" spans="1:106" ht="34" customHeight="1" x14ac:dyDescent="0.2">
      <c r="A8" s="20" t="s">
        <v>330</v>
      </c>
      <c r="B8" s="21">
        <v>2903</v>
      </c>
      <c r="C8" s="68">
        <v>17762</v>
      </c>
      <c r="D8" s="22">
        <v>20</v>
      </c>
      <c r="E8" s="182">
        <v>0</v>
      </c>
      <c r="F8" s="21">
        <v>1326</v>
      </c>
      <c r="G8" s="68">
        <v>8815</v>
      </c>
      <c r="H8" s="21">
        <v>1577</v>
      </c>
      <c r="I8" s="68">
        <v>8947</v>
      </c>
      <c r="J8" s="23">
        <v>0.45679999999999998</v>
      </c>
      <c r="K8" s="23">
        <v>0.54320000000000002</v>
      </c>
      <c r="L8" s="182">
        <v>43.2</v>
      </c>
      <c r="M8" s="21">
        <v>2819</v>
      </c>
      <c r="N8" s="22">
        <v>455</v>
      </c>
      <c r="O8" s="23">
        <v>0.16139999999999999</v>
      </c>
      <c r="P8" s="22">
        <v>176</v>
      </c>
      <c r="Q8" s="182">
        <v>17</v>
      </c>
      <c r="R8" s="182">
        <v>13</v>
      </c>
      <c r="S8" s="22">
        <v>0</v>
      </c>
      <c r="T8" s="182">
        <v>17.100000000000001</v>
      </c>
      <c r="U8" s="22">
        <v>0</v>
      </c>
      <c r="V8" s="182">
        <v>13.1</v>
      </c>
      <c r="W8" s="21">
        <v>2301</v>
      </c>
      <c r="X8" s="22">
        <v>479</v>
      </c>
      <c r="Y8" s="23">
        <v>0.20799999999999999</v>
      </c>
      <c r="Z8" s="22">
        <v>366</v>
      </c>
      <c r="AA8" s="23">
        <v>0.15920000000000001</v>
      </c>
      <c r="AB8" s="21">
        <v>2939</v>
      </c>
      <c r="AC8" s="22">
        <v>9</v>
      </c>
      <c r="AD8" s="22">
        <v>306.23</v>
      </c>
      <c r="AE8" s="21">
        <v>2919</v>
      </c>
      <c r="AF8" s="22">
        <v>4</v>
      </c>
      <c r="AG8" s="22">
        <v>137</v>
      </c>
      <c r="AH8" s="21">
        <v>2524</v>
      </c>
      <c r="AI8" s="182">
        <v>54</v>
      </c>
      <c r="AJ8" s="182">
        <v>304</v>
      </c>
      <c r="AK8" s="22">
        <v>0</v>
      </c>
      <c r="AL8" s="22">
        <v>0</v>
      </c>
      <c r="AM8" s="182">
        <v>27</v>
      </c>
      <c r="AN8" s="182" t="s">
        <v>215</v>
      </c>
      <c r="AO8" s="182" t="s">
        <v>215</v>
      </c>
      <c r="AP8" s="182">
        <v>0</v>
      </c>
      <c r="AQ8" s="182">
        <v>0</v>
      </c>
      <c r="AR8" s="21">
        <v>2235</v>
      </c>
      <c r="AS8" s="22">
        <v>400</v>
      </c>
      <c r="AT8" s="23">
        <v>0.17699999999999999</v>
      </c>
      <c r="AU8" s="21">
        <v>2971</v>
      </c>
      <c r="AV8" s="22">
        <v>73.709999999999994</v>
      </c>
      <c r="AW8" s="68">
        <v>2962</v>
      </c>
      <c r="AX8" s="182">
        <v>20</v>
      </c>
      <c r="AY8" s="182">
        <v>135.1</v>
      </c>
      <c r="AZ8" s="68">
        <v>2301</v>
      </c>
      <c r="BA8" s="182">
        <v>5.7</v>
      </c>
      <c r="BB8" s="22">
        <v>0</v>
      </c>
      <c r="BC8" s="22">
        <v>0</v>
      </c>
      <c r="BD8" s="22" t="s">
        <v>215</v>
      </c>
      <c r="BE8" s="22" t="s">
        <v>215</v>
      </c>
      <c r="BF8" s="22">
        <v>185</v>
      </c>
      <c r="BG8" s="22">
        <v>5</v>
      </c>
      <c r="BH8" s="23">
        <v>2.7E-2</v>
      </c>
      <c r="BI8" s="182" t="s">
        <v>215</v>
      </c>
      <c r="BJ8" s="182" t="s">
        <v>214</v>
      </c>
      <c r="BK8" s="182" t="s">
        <v>214</v>
      </c>
      <c r="BL8" s="22" t="s">
        <v>215</v>
      </c>
      <c r="BM8" s="22" t="s">
        <v>214</v>
      </c>
      <c r="BN8" s="22" t="s">
        <v>214</v>
      </c>
      <c r="BO8" s="182" t="s">
        <v>215</v>
      </c>
      <c r="BP8" s="182" t="s">
        <v>214</v>
      </c>
      <c r="BQ8" s="182" t="s">
        <v>214</v>
      </c>
      <c r="BR8" s="21">
        <v>3636</v>
      </c>
      <c r="BS8" s="22">
        <v>3</v>
      </c>
      <c r="BT8" s="22">
        <v>82.5</v>
      </c>
      <c r="BU8" s="182" t="s">
        <v>215</v>
      </c>
      <c r="BV8" s="182" t="s">
        <v>214</v>
      </c>
      <c r="BW8" s="182" t="s">
        <v>214</v>
      </c>
      <c r="BX8" s="24"/>
      <c r="BY8" s="24">
        <v>141</v>
      </c>
      <c r="BZ8" s="24">
        <v>481</v>
      </c>
      <c r="CA8" s="24">
        <v>294</v>
      </c>
      <c r="CB8" s="24">
        <v>262</v>
      </c>
      <c r="CC8" s="24">
        <v>392</v>
      </c>
      <c r="CD8" s="24">
        <v>424</v>
      </c>
      <c r="CE8" s="24">
        <v>416</v>
      </c>
      <c r="CF8" s="24">
        <v>493</v>
      </c>
      <c r="CG8" s="68">
        <v>2565</v>
      </c>
      <c r="CH8" s="182">
        <v>307</v>
      </c>
      <c r="CI8" s="182">
        <v>0</v>
      </c>
      <c r="CJ8" s="182">
        <v>0</v>
      </c>
      <c r="CK8" s="182">
        <v>2</v>
      </c>
      <c r="CL8" s="182">
        <v>0</v>
      </c>
      <c r="CM8" s="182">
        <v>29</v>
      </c>
      <c r="CN8" s="39">
        <v>1052</v>
      </c>
      <c r="CO8" s="40">
        <v>74995</v>
      </c>
      <c r="CP8" s="40">
        <v>60469</v>
      </c>
      <c r="CQ8" s="44">
        <v>22679</v>
      </c>
      <c r="CR8" s="44">
        <v>72564</v>
      </c>
      <c r="CS8" s="44">
        <v>94167</v>
      </c>
      <c r="CT8" s="43" t="s">
        <v>215</v>
      </c>
      <c r="CU8" s="44">
        <v>195303</v>
      </c>
      <c r="CV8" s="43" t="s">
        <v>215</v>
      </c>
      <c r="CW8" s="44">
        <v>66875</v>
      </c>
      <c r="CX8" s="45">
        <v>0.22620000000000001</v>
      </c>
      <c r="CY8" s="45">
        <v>0.21859999999999999</v>
      </c>
      <c r="CZ8" s="45">
        <v>0.3165</v>
      </c>
      <c r="DA8" s="45">
        <v>0.19009999999999999</v>
      </c>
      <c r="DB8" s="45">
        <v>4.8500000000000001E-2</v>
      </c>
    </row>
    <row r="9" spans="1:106" ht="29.5" customHeight="1" x14ac:dyDescent="0.2">
      <c r="A9" s="13" t="s">
        <v>331</v>
      </c>
      <c r="B9" s="14">
        <v>15591</v>
      </c>
      <c r="C9" s="68">
        <v>92080</v>
      </c>
      <c r="D9" s="15">
        <v>30</v>
      </c>
      <c r="E9" s="182">
        <v>0.1</v>
      </c>
      <c r="F9" s="14">
        <v>7582</v>
      </c>
      <c r="G9" s="68">
        <v>44715</v>
      </c>
      <c r="H9" s="14">
        <v>8009</v>
      </c>
      <c r="I9" s="68">
        <v>47365</v>
      </c>
      <c r="J9" s="16">
        <v>0.48630000000000001</v>
      </c>
      <c r="K9" s="16">
        <v>0.51370000000000005</v>
      </c>
      <c r="L9" s="69">
        <v>40.700000000000003</v>
      </c>
      <c r="M9" s="14">
        <v>15139</v>
      </c>
      <c r="N9" s="14">
        <v>2317</v>
      </c>
      <c r="O9" s="16">
        <v>0.153</v>
      </c>
      <c r="P9" s="15">
        <v>596</v>
      </c>
      <c r="Q9" s="182">
        <v>130</v>
      </c>
      <c r="R9" s="182">
        <v>78</v>
      </c>
      <c r="S9" s="15">
        <v>12</v>
      </c>
      <c r="T9" s="182">
        <v>22.6</v>
      </c>
      <c r="U9" s="15">
        <v>20.13</v>
      </c>
      <c r="V9" s="182">
        <v>13.5</v>
      </c>
      <c r="W9" s="14">
        <v>11965</v>
      </c>
      <c r="X9" s="14">
        <v>2692</v>
      </c>
      <c r="Y9" s="16">
        <v>0.22500000000000001</v>
      </c>
      <c r="Z9" s="14">
        <v>1602</v>
      </c>
      <c r="AA9" s="16">
        <v>0.13389999999999999</v>
      </c>
      <c r="AB9" s="14">
        <v>15314</v>
      </c>
      <c r="AC9" s="15">
        <v>138</v>
      </c>
      <c r="AD9" s="15">
        <v>901.14</v>
      </c>
      <c r="AE9" s="14">
        <v>15524</v>
      </c>
      <c r="AF9" s="15">
        <v>38</v>
      </c>
      <c r="AG9" s="15">
        <v>244.8</v>
      </c>
      <c r="AH9" s="14">
        <v>12859</v>
      </c>
      <c r="AI9" s="182">
        <v>974</v>
      </c>
      <c r="AJ9" s="70">
        <v>1057.8</v>
      </c>
      <c r="AK9" s="15" t="s">
        <v>213</v>
      </c>
      <c r="AL9" s="15" t="s">
        <v>302</v>
      </c>
      <c r="AM9" s="69">
        <v>176</v>
      </c>
      <c r="AN9" s="69" t="s">
        <v>215</v>
      </c>
      <c r="AO9" s="69" t="s">
        <v>215</v>
      </c>
      <c r="AP9" s="182">
        <v>9</v>
      </c>
      <c r="AQ9" s="182">
        <v>8.6999999999999993</v>
      </c>
      <c r="AR9" s="14">
        <v>11572</v>
      </c>
      <c r="AS9" s="14">
        <v>2812</v>
      </c>
      <c r="AT9" s="16">
        <v>0.24399999999999999</v>
      </c>
      <c r="AU9" s="14">
        <v>15362</v>
      </c>
      <c r="AV9" s="15">
        <v>72.8</v>
      </c>
      <c r="AW9" s="71">
        <v>15379</v>
      </c>
      <c r="AX9" s="69">
        <v>102</v>
      </c>
      <c r="AY9" s="69">
        <v>132.6</v>
      </c>
      <c r="AZ9" s="71">
        <v>11965</v>
      </c>
      <c r="BA9" s="69">
        <v>5.7</v>
      </c>
      <c r="BB9" s="14">
        <v>15314</v>
      </c>
      <c r="BC9" s="15">
        <v>1</v>
      </c>
      <c r="BD9" s="14">
        <v>15314</v>
      </c>
      <c r="BE9" s="15">
        <v>6.5</v>
      </c>
      <c r="BF9" s="15">
        <v>977</v>
      </c>
      <c r="BG9" s="15">
        <v>39</v>
      </c>
      <c r="BH9" s="16">
        <v>3.9899999999999998E-2</v>
      </c>
      <c r="BI9" s="68">
        <v>10869</v>
      </c>
      <c r="BJ9" s="182">
        <v>12</v>
      </c>
      <c r="BK9" s="182">
        <v>110.4</v>
      </c>
      <c r="BL9" s="15" t="s">
        <v>215</v>
      </c>
      <c r="BM9" s="15" t="s">
        <v>214</v>
      </c>
      <c r="BN9" s="15" t="s">
        <v>214</v>
      </c>
      <c r="BO9" s="68">
        <v>21052</v>
      </c>
      <c r="BP9" s="182">
        <v>8</v>
      </c>
      <c r="BQ9" s="182">
        <v>38</v>
      </c>
      <c r="BR9" s="14">
        <v>21352</v>
      </c>
      <c r="BS9" s="15">
        <v>18</v>
      </c>
      <c r="BT9" s="15">
        <v>84.3</v>
      </c>
      <c r="BU9" s="68">
        <v>9685</v>
      </c>
      <c r="BV9" s="182">
        <v>16</v>
      </c>
      <c r="BW9" s="182">
        <v>165.2</v>
      </c>
      <c r="BX9" s="18"/>
      <c r="BY9" s="18">
        <v>921</v>
      </c>
      <c r="BZ9" s="19">
        <v>2709</v>
      </c>
      <c r="CA9" s="19">
        <v>1411</v>
      </c>
      <c r="CB9" s="19">
        <v>1778</v>
      </c>
      <c r="CC9" s="19">
        <v>1987</v>
      </c>
      <c r="CD9" s="19">
        <v>1786</v>
      </c>
      <c r="CE9" s="19">
        <v>2123</v>
      </c>
      <c r="CF9" s="19">
        <v>2876</v>
      </c>
      <c r="CG9" s="68">
        <v>6737</v>
      </c>
      <c r="CH9" s="68">
        <v>8138</v>
      </c>
      <c r="CI9" s="182">
        <v>68</v>
      </c>
      <c r="CJ9" s="182">
        <v>9</v>
      </c>
      <c r="CK9" s="182">
        <v>0</v>
      </c>
      <c r="CL9" s="182">
        <v>403</v>
      </c>
      <c r="CM9" s="182">
        <v>236</v>
      </c>
      <c r="CN9" s="37">
        <v>5826</v>
      </c>
      <c r="CO9" s="38">
        <v>64495</v>
      </c>
      <c r="CP9" s="38">
        <v>46865</v>
      </c>
      <c r="CQ9" s="42">
        <v>24311</v>
      </c>
      <c r="CR9" s="42">
        <v>53385</v>
      </c>
      <c r="CS9" s="42">
        <v>73668</v>
      </c>
      <c r="CT9" s="42">
        <v>57794</v>
      </c>
      <c r="CU9" s="42">
        <v>53901</v>
      </c>
      <c r="CV9" s="42">
        <v>107794</v>
      </c>
      <c r="CW9" s="42">
        <v>81750</v>
      </c>
      <c r="CX9" s="46">
        <v>0.28360000000000002</v>
      </c>
      <c r="CY9" s="46">
        <v>0.24390000000000001</v>
      </c>
      <c r="CZ9" s="46">
        <v>0.25919999999999999</v>
      </c>
      <c r="DA9" s="46">
        <v>0.19239999999999999</v>
      </c>
      <c r="DB9" s="46">
        <v>2.0899999999999998E-2</v>
      </c>
    </row>
    <row r="10" spans="1:106" ht="33.5" customHeight="1" x14ac:dyDescent="0.2">
      <c r="A10" s="20" t="s">
        <v>332</v>
      </c>
      <c r="B10" s="21">
        <v>8704</v>
      </c>
      <c r="C10" s="68">
        <v>52060</v>
      </c>
      <c r="D10" s="22">
        <v>25</v>
      </c>
      <c r="E10" s="182">
        <v>0.1</v>
      </c>
      <c r="F10" s="21">
        <v>4357</v>
      </c>
      <c r="G10" s="68">
        <v>27749</v>
      </c>
      <c r="H10" s="21">
        <v>4347</v>
      </c>
      <c r="I10" s="68">
        <v>24311</v>
      </c>
      <c r="J10" s="23">
        <v>0.50060000000000004</v>
      </c>
      <c r="K10" s="23">
        <v>0.49940000000000001</v>
      </c>
      <c r="L10" s="182">
        <v>44</v>
      </c>
      <c r="M10" s="21">
        <v>7919</v>
      </c>
      <c r="N10" s="21">
        <v>1738</v>
      </c>
      <c r="O10" s="23">
        <v>0.2195</v>
      </c>
      <c r="P10" s="22">
        <v>305</v>
      </c>
      <c r="Q10" s="182">
        <v>48</v>
      </c>
      <c r="R10" s="182">
        <v>44</v>
      </c>
      <c r="S10" s="22">
        <v>0</v>
      </c>
      <c r="T10" s="182">
        <v>17.100000000000001</v>
      </c>
      <c r="U10" s="22">
        <v>0</v>
      </c>
      <c r="V10" s="182">
        <v>15.7</v>
      </c>
      <c r="W10" s="21">
        <v>6935</v>
      </c>
      <c r="X10" s="21">
        <v>1775</v>
      </c>
      <c r="Y10" s="23">
        <v>0.25600000000000001</v>
      </c>
      <c r="Z10" s="22">
        <v>938</v>
      </c>
      <c r="AA10" s="23">
        <v>0.1353</v>
      </c>
      <c r="AB10" s="21">
        <v>8689</v>
      </c>
      <c r="AC10" s="22">
        <v>39</v>
      </c>
      <c r="AD10" s="22">
        <v>448.84</v>
      </c>
      <c r="AE10" s="21">
        <v>8639</v>
      </c>
      <c r="AF10" s="22">
        <v>16</v>
      </c>
      <c r="AG10" s="22">
        <v>185.2</v>
      </c>
      <c r="AH10" s="21">
        <v>7487</v>
      </c>
      <c r="AI10" s="182">
        <v>322</v>
      </c>
      <c r="AJ10" s="182">
        <v>618.5</v>
      </c>
      <c r="AK10" s="22" t="s">
        <v>213</v>
      </c>
      <c r="AL10" s="22" t="s">
        <v>302</v>
      </c>
      <c r="AM10" s="182">
        <v>90</v>
      </c>
      <c r="AN10" s="182" t="s">
        <v>215</v>
      </c>
      <c r="AO10" s="182" t="s">
        <v>215</v>
      </c>
      <c r="AP10" s="182">
        <v>3</v>
      </c>
      <c r="AQ10" s="2" t="s">
        <v>308</v>
      </c>
      <c r="AR10" s="21">
        <v>6726</v>
      </c>
      <c r="AS10" s="21">
        <v>1426</v>
      </c>
      <c r="AT10" s="23">
        <v>0.21299999999999999</v>
      </c>
      <c r="AU10" s="21">
        <v>8676</v>
      </c>
      <c r="AV10" s="22">
        <v>73.61</v>
      </c>
      <c r="AW10" s="68">
        <v>8687</v>
      </c>
      <c r="AX10" s="182">
        <v>31</v>
      </c>
      <c r="AY10" s="182">
        <v>71.400000000000006</v>
      </c>
      <c r="AZ10" s="68">
        <v>6935</v>
      </c>
      <c r="BA10" s="182">
        <v>5.8</v>
      </c>
      <c r="BB10" s="21">
        <v>8689</v>
      </c>
      <c r="BC10" s="22">
        <v>1</v>
      </c>
      <c r="BD10" s="21">
        <v>8689</v>
      </c>
      <c r="BE10" s="22">
        <v>11.5</v>
      </c>
      <c r="BF10" s="22">
        <v>440</v>
      </c>
      <c r="BG10" s="22">
        <v>35</v>
      </c>
      <c r="BH10" s="23">
        <v>7.9500000000000001E-2</v>
      </c>
      <c r="BI10" s="68">
        <v>5993</v>
      </c>
      <c r="BJ10" s="182">
        <v>7</v>
      </c>
      <c r="BK10" s="182">
        <v>116.8</v>
      </c>
      <c r="BL10" s="22" t="s">
        <v>215</v>
      </c>
      <c r="BM10" s="22" t="s">
        <v>214</v>
      </c>
      <c r="BN10" s="22" t="s">
        <v>214</v>
      </c>
      <c r="BO10" s="182" t="s">
        <v>215</v>
      </c>
      <c r="BP10" s="182" t="s">
        <v>214</v>
      </c>
      <c r="BQ10" s="182" t="s">
        <v>214</v>
      </c>
      <c r="BR10" s="21">
        <v>12145</v>
      </c>
      <c r="BS10" s="22">
        <v>6</v>
      </c>
      <c r="BT10" s="22">
        <v>49.4</v>
      </c>
      <c r="BU10" s="68">
        <v>5405</v>
      </c>
      <c r="BV10" s="182">
        <v>4</v>
      </c>
      <c r="BW10" s="182">
        <v>74</v>
      </c>
      <c r="BX10" s="24"/>
      <c r="BY10" s="24">
        <v>266</v>
      </c>
      <c r="BZ10" s="25">
        <v>1357</v>
      </c>
      <c r="CA10" s="24">
        <v>474</v>
      </c>
      <c r="CB10" s="24">
        <v>910</v>
      </c>
      <c r="CC10" s="25">
        <v>1379</v>
      </c>
      <c r="CD10" s="24">
        <v>915</v>
      </c>
      <c r="CE10" s="25">
        <v>1552</v>
      </c>
      <c r="CF10" s="25">
        <v>1851</v>
      </c>
      <c r="CG10" s="68">
        <v>4985</v>
      </c>
      <c r="CH10" s="68">
        <v>3036</v>
      </c>
      <c r="CI10" s="182">
        <v>2</v>
      </c>
      <c r="CJ10" s="182">
        <v>2</v>
      </c>
      <c r="CK10" s="182">
        <v>0</v>
      </c>
      <c r="CL10" s="182">
        <v>299</v>
      </c>
      <c r="CM10" s="182">
        <v>380</v>
      </c>
      <c r="CN10" s="39">
        <v>3297</v>
      </c>
      <c r="CO10" s="40">
        <v>48434</v>
      </c>
      <c r="CP10" s="40">
        <v>31463</v>
      </c>
      <c r="CQ10" s="44">
        <v>23161</v>
      </c>
      <c r="CR10" s="44">
        <v>31690</v>
      </c>
      <c r="CS10" s="44">
        <v>62264</v>
      </c>
      <c r="CT10" s="44">
        <v>40039</v>
      </c>
      <c r="CU10" s="44">
        <v>49979</v>
      </c>
      <c r="CV10" s="43" t="s">
        <v>215</v>
      </c>
      <c r="CW10" s="43" t="s">
        <v>215</v>
      </c>
      <c r="CX10" s="45">
        <v>0.41460000000000002</v>
      </c>
      <c r="CY10" s="45">
        <v>0.27179999999999999</v>
      </c>
      <c r="CZ10" s="45">
        <v>0.17829999999999999</v>
      </c>
      <c r="DA10" s="45">
        <v>0.13320000000000001</v>
      </c>
      <c r="DB10" s="45">
        <v>2.0999999999999999E-3</v>
      </c>
    </row>
    <row r="11" spans="1:106" ht="34.5" customHeight="1" x14ac:dyDescent="0.2">
      <c r="A11" s="13" t="s">
        <v>333</v>
      </c>
      <c r="B11" s="14">
        <v>7726</v>
      </c>
      <c r="C11" s="68">
        <v>47336</v>
      </c>
      <c r="D11" s="15">
        <v>37</v>
      </c>
      <c r="E11" s="182">
        <v>0.1</v>
      </c>
      <c r="F11" s="14">
        <v>3794</v>
      </c>
      <c r="G11" s="68">
        <v>22946</v>
      </c>
      <c r="H11" s="14">
        <v>3932</v>
      </c>
      <c r="I11" s="68">
        <v>24390</v>
      </c>
      <c r="J11" s="16">
        <v>0.49109999999999998</v>
      </c>
      <c r="K11" s="16">
        <v>0.50890000000000002</v>
      </c>
      <c r="L11" s="69">
        <v>47.1</v>
      </c>
      <c r="M11" s="14">
        <v>7639</v>
      </c>
      <c r="N11" s="14">
        <v>1434</v>
      </c>
      <c r="O11" s="16">
        <v>0.18770000000000001</v>
      </c>
      <c r="P11" s="15">
        <v>291</v>
      </c>
      <c r="Q11" s="182">
        <v>21</v>
      </c>
      <c r="R11" s="182">
        <v>16</v>
      </c>
      <c r="S11" s="15">
        <v>0</v>
      </c>
      <c r="T11" s="182">
        <v>8.5</v>
      </c>
      <c r="U11" s="15">
        <v>0</v>
      </c>
      <c r="V11" s="182">
        <v>6.5</v>
      </c>
      <c r="W11" s="14">
        <v>6276</v>
      </c>
      <c r="X11" s="14">
        <v>1343</v>
      </c>
      <c r="Y11" s="16">
        <v>0.214</v>
      </c>
      <c r="Z11" s="15">
        <v>858</v>
      </c>
      <c r="AA11" s="16">
        <v>0.1368</v>
      </c>
      <c r="AB11" s="14">
        <v>7841</v>
      </c>
      <c r="AC11" s="15">
        <v>21</v>
      </c>
      <c r="AD11" s="15">
        <v>267.82</v>
      </c>
      <c r="AE11" s="14">
        <v>7749</v>
      </c>
      <c r="AF11" s="15">
        <v>15</v>
      </c>
      <c r="AG11" s="15">
        <v>193.6</v>
      </c>
      <c r="AH11" s="14">
        <v>6797</v>
      </c>
      <c r="AI11" s="182">
        <v>209</v>
      </c>
      <c r="AJ11" s="182">
        <v>441.5</v>
      </c>
      <c r="AK11" s="15" t="s">
        <v>213</v>
      </c>
      <c r="AL11" s="15" t="s">
        <v>302</v>
      </c>
      <c r="AM11" s="69">
        <v>78</v>
      </c>
      <c r="AN11" s="69" t="s">
        <v>215</v>
      </c>
      <c r="AO11" s="69" t="s">
        <v>215</v>
      </c>
      <c r="AP11" s="182">
        <v>2</v>
      </c>
      <c r="AQ11" s="2" t="s">
        <v>308</v>
      </c>
      <c r="AR11" s="14">
        <v>6154</v>
      </c>
      <c r="AS11" s="14">
        <v>1200</v>
      </c>
      <c r="AT11" s="16">
        <v>0.19500000000000001</v>
      </c>
      <c r="AU11" s="14">
        <v>7921</v>
      </c>
      <c r="AV11" s="15">
        <v>76.67</v>
      </c>
      <c r="AW11" s="71">
        <v>7891</v>
      </c>
      <c r="AX11" s="69">
        <v>42</v>
      </c>
      <c r="AY11" s="69">
        <v>106.4</v>
      </c>
      <c r="AZ11" s="71">
        <v>6276</v>
      </c>
      <c r="BA11" s="69">
        <v>5.7</v>
      </c>
      <c r="BB11" s="14">
        <v>7841</v>
      </c>
      <c r="BC11" s="15">
        <v>3</v>
      </c>
      <c r="BD11" s="17">
        <v>2613.6999999999998</v>
      </c>
      <c r="BE11" s="15">
        <v>38.299999999999997</v>
      </c>
      <c r="BF11" s="15">
        <v>413</v>
      </c>
      <c r="BG11" s="15">
        <v>16</v>
      </c>
      <c r="BH11" s="16">
        <v>3.8699999999999998E-2</v>
      </c>
      <c r="BI11" s="68">
        <v>6482</v>
      </c>
      <c r="BJ11" s="182">
        <v>8</v>
      </c>
      <c r="BK11" s="182">
        <v>123.4</v>
      </c>
      <c r="BL11" s="15" t="s">
        <v>215</v>
      </c>
      <c r="BM11" s="15" t="s">
        <v>214</v>
      </c>
      <c r="BN11" s="15" t="s">
        <v>214</v>
      </c>
      <c r="BO11" s="68">
        <v>13452</v>
      </c>
      <c r="BP11" s="182">
        <v>6</v>
      </c>
      <c r="BQ11" s="182">
        <v>44.6</v>
      </c>
      <c r="BR11" s="14">
        <v>12784</v>
      </c>
      <c r="BS11" s="15">
        <v>9</v>
      </c>
      <c r="BT11" s="15">
        <v>70.400000000000006</v>
      </c>
      <c r="BU11" s="68">
        <v>7568</v>
      </c>
      <c r="BV11" s="182">
        <v>8</v>
      </c>
      <c r="BW11" s="182">
        <v>105.7</v>
      </c>
      <c r="BX11" s="18"/>
      <c r="BY11" s="18">
        <v>315</v>
      </c>
      <c r="BZ11" s="19">
        <v>1176</v>
      </c>
      <c r="CA11" s="18">
        <v>540</v>
      </c>
      <c r="CB11" s="18">
        <v>654</v>
      </c>
      <c r="CC11" s="18">
        <v>953</v>
      </c>
      <c r="CD11" s="18">
        <v>910</v>
      </c>
      <c r="CE11" s="19">
        <v>1265</v>
      </c>
      <c r="CF11" s="19">
        <v>1913</v>
      </c>
      <c r="CG11" s="68">
        <v>5302</v>
      </c>
      <c r="CH11" s="68">
        <v>2175</v>
      </c>
      <c r="CI11" s="182">
        <v>6</v>
      </c>
      <c r="CJ11" s="182">
        <v>0</v>
      </c>
      <c r="CK11" s="182">
        <v>0</v>
      </c>
      <c r="CL11" s="182">
        <v>85</v>
      </c>
      <c r="CM11" s="182">
        <v>158</v>
      </c>
      <c r="CN11" s="37">
        <v>3015</v>
      </c>
      <c r="CO11" s="38">
        <v>71037</v>
      </c>
      <c r="CP11" s="38">
        <v>50754</v>
      </c>
      <c r="CQ11" s="42">
        <v>17546</v>
      </c>
      <c r="CR11" s="42">
        <v>54880</v>
      </c>
      <c r="CS11" s="42">
        <v>46447</v>
      </c>
      <c r="CT11" s="42">
        <v>101060</v>
      </c>
      <c r="CU11" s="42">
        <v>170192</v>
      </c>
      <c r="CV11" s="41" t="s">
        <v>215</v>
      </c>
      <c r="CW11" s="41" t="s">
        <v>215</v>
      </c>
      <c r="CX11" s="46">
        <v>0.23150000000000001</v>
      </c>
      <c r="CY11" s="46">
        <v>0.26269999999999999</v>
      </c>
      <c r="CZ11" s="46">
        <v>0.23419999999999999</v>
      </c>
      <c r="DA11" s="46">
        <v>0.23380000000000001</v>
      </c>
      <c r="DB11" s="46">
        <v>3.78E-2</v>
      </c>
    </row>
    <row r="12" spans="1:106" ht="26.5" customHeight="1" x14ac:dyDescent="0.2">
      <c r="A12" s="20" t="s">
        <v>334</v>
      </c>
      <c r="B12" s="21">
        <v>21715</v>
      </c>
      <c r="C12" s="68">
        <v>129150</v>
      </c>
      <c r="D12" s="22">
        <v>84</v>
      </c>
      <c r="E12" s="182">
        <v>0.2</v>
      </c>
      <c r="F12" s="21">
        <v>10508</v>
      </c>
      <c r="G12" s="68">
        <v>60679</v>
      </c>
      <c r="H12" s="21">
        <v>11207</v>
      </c>
      <c r="I12" s="68">
        <v>68471</v>
      </c>
      <c r="J12" s="23">
        <v>0.4839</v>
      </c>
      <c r="K12" s="23">
        <v>0.5161</v>
      </c>
      <c r="L12" s="182">
        <v>38.5</v>
      </c>
      <c r="M12" s="21">
        <v>21469</v>
      </c>
      <c r="N12" s="21">
        <v>2634</v>
      </c>
      <c r="O12" s="23">
        <v>0.1227</v>
      </c>
      <c r="P12" s="22">
        <v>526</v>
      </c>
      <c r="Q12" s="182">
        <v>194</v>
      </c>
      <c r="R12" s="182">
        <v>147</v>
      </c>
      <c r="S12" s="22">
        <v>0</v>
      </c>
      <c r="T12" s="182">
        <v>21.5</v>
      </c>
      <c r="U12" s="22">
        <v>0</v>
      </c>
      <c r="V12" s="182">
        <v>16.3</v>
      </c>
      <c r="W12" s="21">
        <v>16278</v>
      </c>
      <c r="X12" s="21">
        <v>3386</v>
      </c>
      <c r="Y12" s="23">
        <v>0.20799999999999999</v>
      </c>
      <c r="Z12" s="21">
        <v>2258</v>
      </c>
      <c r="AA12" s="23">
        <v>0.13880000000000001</v>
      </c>
      <c r="AB12" s="21">
        <v>21713</v>
      </c>
      <c r="AC12" s="22">
        <v>197</v>
      </c>
      <c r="AD12" s="22">
        <v>907.29</v>
      </c>
      <c r="AE12" s="21">
        <v>21633</v>
      </c>
      <c r="AF12" s="22">
        <v>111</v>
      </c>
      <c r="AG12" s="22">
        <v>513.1</v>
      </c>
      <c r="AH12" s="21">
        <v>17975</v>
      </c>
      <c r="AI12" s="68">
        <v>1491</v>
      </c>
      <c r="AJ12" s="70">
        <v>1154.5</v>
      </c>
      <c r="AK12" s="22" t="s">
        <v>213</v>
      </c>
      <c r="AL12" s="22" t="s">
        <v>302</v>
      </c>
      <c r="AM12" s="182">
        <v>266</v>
      </c>
      <c r="AN12" s="182" t="s">
        <v>215</v>
      </c>
      <c r="AO12" s="182" t="s">
        <v>215</v>
      </c>
      <c r="AP12" s="182">
        <v>14</v>
      </c>
      <c r="AQ12" s="182">
        <v>8.8000000000000007</v>
      </c>
      <c r="AR12" s="21">
        <v>15760</v>
      </c>
      <c r="AS12" s="21">
        <v>4271</v>
      </c>
      <c r="AT12" s="23">
        <v>0.27100000000000002</v>
      </c>
      <c r="AU12" s="21">
        <v>21312</v>
      </c>
      <c r="AV12" s="22">
        <v>74.17</v>
      </c>
      <c r="AW12" s="68">
        <v>21470</v>
      </c>
      <c r="AX12" s="182">
        <v>126</v>
      </c>
      <c r="AY12" s="182">
        <v>117.4</v>
      </c>
      <c r="AZ12" s="68">
        <v>16278</v>
      </c>
      <c r="BA12" s="182">
        <v>5.5</v>
      </c>
      <c r="BB12" s="21">
        <v>21713</v>
      </c>
      <c r="BC12" s="22">
        <v>15</v>
      </c>
      <c r="BD12" s="26">
        <v>1447.5</v>
      </c>
      <c r="BE12" s="22">
        <v>69.099999999999994</v>
      </c>
      <c r="BF12" s="21">
        <v>1028</v>
      </c>
      <c r="BG12" s="22">
        <v>116</v>
      </c>
      <c r="BH12" s="23">
        <v>0.1128</v>
      </c>
      <c r="BI12" s="68">
        <v>13494</v>
      </c>
      <c r="BJ12" s="182">
        <v>19</v>
      </c>
      <c r="BK12" s="182">
        <v>140.80000000000001</v>
      </c>
      <c r="BL12" s="22" t="s">
        <v>215</v>
      </c>
      <c r="BM12" s="22" t="s">
        <v>214</v>
      </c>
      <c r="BN12" s="22" t="s">
        <v>214</v>
      </c>
      <c r="BO12" s="68">
        <v>28192</v>
      </c>
      <c r="BP12" s="182">
        <v>17</v>
      </c>
      <c r="BQ12" s="182">
        <v>60.3</v>
      </c>
      <c r="BR12" s="21">
        <v>30349</v>
      </c>
      <c r="BS12" s="22">
        <v>20</v>
      </c>
      <c r="BT12" s="22">
        <v>65.900000000000006</v>
      </c>
      <c r="BU12" s="68">
        <v>13706</v>
      </c>
      <c r="BV12" s="182">
        <v>25</v>
      </c>
      <c r="BW12" s="182">
        <v>182.4</v>
      </c>
      <c r="BX12" s="24"/>
      <c r="BY12" s="25">
        <v>1358</v>
      </c>
      <c r="BZ12" s="25">
        <v>4044</v>
      </c>
      <c r="CA12" s="25">
        <v>1608</v>
      </c>
      <c r="CB12" s="25">
        <v>2770</v>
      </c>
      <c r="CC12" s="25">
        <v>2500</v>
      </c>
      <c r="CD12" s="25">
        <v>2534</v>
      </c>
      <c r="CE12" s="25">
        <v>3008</v>
      </c>
      <c r="CF12" s="25">
        <v>3893</v>
      </c>
      <c r="CG12" s="68">
        <v>11864</v>
      </c>
      <c r="CH12" s="68">
        <v>8938</v>
      </c>
      <c r="CI12" s="182">
        <v>34</v>
      </c>
      <c r="CJ12" s="182">
        <v>0</v>
      </c>
      <c r="CK12" s="182">
        <v>0</v>
      </c>
      <c r="CL12" s="182">
        <v>274</v>
      </c>
      <c r="CM12" s="182">
        <v>605</v>
      </c>
      <c r="CN12" s="39">
        <v>8212</v>
      </c>
      <c r="CO12" s="40">
        <v>72508</v>
      </c>
      <c r="CP12" s="40">
        <v>54752</v>
      </c>
      <c r="CQ12" s="44">
        <v>29357</v>
      </c>
      <c r="CR12" s="44">
        <v>57083</v>
      </c>
      <c r="CS12" s="44">
        <v>58690</v>
      </c>
      <c r="CT12" s="44">
        <v>71274</v>
      </c>
      <c r="CU12" s="43" t="s">
        <v>215</v>
      </c>
      <c r="CV12" s="43" t="s">
        <v>215</v>
      </c>
      <c r="CW12" s="43" t="s">
        <v>215</v>
      </c>
      <c r="CX12" s="45">
        <v>0.21049999999999999</v>
      </c>
      <c r="CY12" s="45">
        <v>0.2407</v>
      </c>
      <c r="CZ12" s="45">
        <v>0.31619999999999998</v>
      </c>
      <c r="DA12" s="45">
        <v>0.2019</v>
      </c>
      <c r="DB12" s="45">
        <v>3.0599999999999999E-2</v>
      </c>
    </row>
    <row r="13" spans="1:106" ht="44" customHeight="1" x14ac:dyDescent="0.2">
      <c r="A13" s="13" t="s">
        <v>335</v>
      </c>
      <c r="B13" s="14">
        <v>206153</v>
      </c>
      <c r="C13" s="68">
        <v>1223878</v>
      </c>
      <c r="D13" s="15">
        <v>636</v>
      </c>
      <c r="E13" s="182">
        <v>1.9</v>
      </c>
      <c r="F13" s="14">
        <v>99791</v>
      </c>
      <c r="G13" s="68">
        <v>593236</v>
      </c>
      <c r="H13" s="14">
        <v>106362</v>
      </c>
      <c r="I13" s="68">
        <v>630642</v>
      </c>
      <c r="J13" s="16">
        <v>0.48409999999999997</v>
      </c>
      <c r="K13" s="16">
        <v>0.51590000000000003</v>
      </c>
      <c r="L13" s="69">
        <v>34.799999999999997</v>
      </c>
      <c r="M13" s="14">
        <v>194852</v>
      </c>
      <c r="N13" s="14">
        <v>35690</v>
      </c>
      <c r="O13" s="16">
        <v>0.1832</v>
      </c>
      <c r="P13" s="14">
        <v>6738</v>
      </c>
      <c r="Q13" s="68">
        <v>1681</v>
      </c>
      <c r="R13" s="68">
        <v>1146</v>
      </c>
      <c r="S13" s="15">
        <v>188</v>
      </c>
      <c r="T13" s="68">
        <v>22.3</v>
      </c>
      <c r="U13" s="15">
        <v>27.9</v>
      </c>
      <c r="V13" s="182">
        <v>15.2</v>
      </c>
      <c r="W13" s="14">
        <v>159044</v>
      </c>
      <c r="X13" s="14">
        <v>31173</v>
      </c>
      <c r="Y13" s="16">
        <v>0.19600000000000001</v>
      </c>
      <c r="Z13" s="14">
        <v>24865</v>
      </c>
      <c r="AA13" s="16">
        <v>0.15629999999999999</v>
      </c>
      <c r="AB13" s="14">
        <v>206640</v>
      </c>
      <c r="AC13" s="14">
        <v>2361</v>
      </c>
      <c r="AD13" s="17">
        <v>1142.57</v>
      </c>
      <c r="AE13" s="14">
        <v>205673</v>
      </c>
      <c r="AF13" s="14">
        <v>1099</v>
      </c>
      <c r="AG13" s="15">
        <v>534.29999999999995</v>
      </c>
      <c r="AH13" s="14">
        <v>173064</v>
      </c>
      <c r="AI13" s="68">
        <v>22104</v>
      </c>
      <c r="AJ13" s="70">
        <v>1806.1</v>
      </c>
      <c r="AK13" s="15">
        <v>70</v>
      </c>
      <c r="AL13" s="15">
        <v>40.4</v>
      </c>
      <c r="AM13" s="71">
        <v>2871</v>
      </c>
      <c r="AN13" s="69">
        <v>29</v>
      </c>
      <c r="AO13" s="69">
        <v>10.199999999999999</v>
      </c>
      <c r="AP13" s="182">
        <v>164</v>
      </c>
      <c r="AQ13" s="182">
        <v>10.1</v>
      </c>
      <c r="AR13" s="14">
        <v>152129</v>
      </c>
      <c r="AS13" s="14">
        <v>57809</v>
      </c>
      <c r="AT13" s="16">
        <v>0.38100000000000001</v>
      </c>
      <c r="AU13" s="14">
        <v>202518</v>
      </c>
      <c r="AV13" s="15">
        <v>74.180000000000007</v>
      </c>
      <c r="AW13" s="71">
        <v>203693</v>
      </c>
      <c r="AX13" s="69">
        <v>976</v>
      </c>
      <c r="AY13" s="69">
        <v>95.8</v>
      </c>
      <c r="AZ13" s="71">
        <v>159044</v>
      </c>
      <c r="BA13" s="69">
        <v>5.6</v>
      </c>
      <c r="BB13" s="14">
        <v>206640</v>
      </c>
      <c r="BC13" s="15">
        <v>719</v>
      </c>
      <c r="BD13" s="15">
        <v>287.39999999999998</v>
      </c>
      <c r="BE13" s="15">
        <v>347.9</v>
      </c>
      <c r="BF13" s="14">
        <v>11592</v>
      </c>
      <c r="BG13" s="14">
        <v>1226</v>
      </c>
      <c r="BH13" s="16">
        <v>0.10580000000000001</v>
      </c>
      <c r="BI13" s="68">
        <v>122131</v>
      </c>
      <c r="BJ13" s="182">
        <v>165</v>
      </c>
      <c r="BK13" s="182">
        <v>135.1</v>
      </c>
      <c r="BL13" s="14">
        <v>95652</v>
      </c>
      <c r="BM13" s="15">
        <v>11</v>
      </c>
      <c r="BN13" s="15">
        <v>11.5</v>
      </c>
      <c r="BO13" s="68">
        <v>216666</v>
      </c>
      <c r="BP13" s="182">
        <v>78</v>
      </c>
      <c r="BQ13" s="182">
        <v>36</v>
      </c>
      <c r="BR13" s="14">
        <v>228985</v>
      </c>
      <c r="BS13" s="15">
        <v>158</v>
      </c>
      <c r="BT13" s="15">
        <v>69</v>
      </c>
      <c r="BU13" s="68">
        <v>107355</v>
      </c>
      <c r="BV13" s="182">
        <v>162</v>
      </c>
      <c r="BW13" s="182">
        <v>150.9</v>
      </c>
      <c r="BX13" s="18"/>
      <c r="BY13" s="19">
        <v>13503</v>
      </c>
      <c r="BZ13" s="19">
        <v>33728</v>
      </c>
      <c r="CA13" s="19">
        <v>23345</v>
      </c>
      <c r="CB13" s="19">
        <v>32995</v>
      </c>
      <c r="CC13" s="19">
        <v>24866</v>
      </c>
      <c r="CD13" s="19">
        <v>22088</v>
      </c>
      <c r="CE13" s="19">
        <v>25637</v>
      </c>
      <c r="CF13" s="19">
        <v>29991</v>
      </c>
      <c r="CG13" s="68">
        <v>71015</v>
      </c>
      <c r="CH13" s="68">
        <v>115235</v>
      </c>
      <c r="CI13" s="68">
        <v>3659</v>
      </c>
      <c r="CJ13" s="182">
        <v>252</v>
      </c>
      <c r="CK13" s="182">
        <v>148</v>
      </c>
      <c r="CL13" s="68">
        <v>3907</v>
      </c>
      <c r="CM13" s="68">
        <v>11937</v>
      </c>
      <c r="CN13" s="37">
        <v>74028</v>
      </c>
      <c r="CO13" s="38">
        <v>70310</v>
      </c>
      <c r="CP13" s="38">
        <v>50605</v>
      </c>
      <c r="CQ13" s="42">
        <v>31083</v>
      </c>
      <c r="CR13" s="42">
        <v>60608</v>
      </c>
      <c r="CS13" s="42">
        <v>65208</v>
      </c>
      <c r="CT13" s="42">
        <v>74934</v>
      </c>
      <c r="CU13" s="42">
        <v>63995</v>
      </c>
      <c r="CV13" s="42">
        <v>82438</v>
      </c>
      <c r="CW13" s="42">
        <v>68942</v>
      </c>
      <c r="CX13" s="46">
        <v>0.25619999999999998</v>
      </c>
      <c r="CY13" s="46">
        <v>0.2397</v>
      </c>
      <c r="CZ13" s="46">
        <v>0.30049999999999999</v>
      </c>
      <c r="DA13" s="46">
        <v>0.1585</v>
      </c>
      <c r="DB13" s="46">
        <v>4.5199999999999997E-2</v>
      </c>
    </row>
    <row r="14" spans="1:106" ht="33" customHeight="1" x14ac:dyDescent="0.2">
      <c r="A14" s="20" t="s">
        <v>336</v>
      </c>
      <c r="B14" s="21">
        <v>14026</v>
      </c>
      <c r="C14" s="68">
        <v>84172</v>
      </c>
      <c r="D14" s="22">
        <v>22</v>
      </c>
      <c r="E14" s="182">
        <v>0.1</v>
      </c>
      <c r="F14" s="21">
        <v>6742</v>
      </c>
      <c r="G14" s="68">
        <v>41512</v>
      </c>
      <c r="H14" s="21">
        <v>7284</v>
      </c>
      <c r="I14" s="68">
        <v>42660</v>
      </c>
      <c r="J14" s="23">
        <v>0.48070000000000002</v>
      </c>
      <c r="K14" s="23">
        <v>0.51929999999999998</v>
      </c>
      <c r="L14" s="182">
        <v>41.9</v>
      </c>
      <c r="M14" s="21">
        <v>13674</v>
      </c>
      <c r="N14" s="21">
        <v>2109</v>
      </c>
      <c r="O14" s="23">
        <v>0.1542</v>
      </c>
      <c r="P14" s="22">
        <v>393</v>
      </c>
      <c r="Q14" s="182">
        <v>107</v>
      </c>
      <c r="R14" s="182">
        <v>85</v>
      </c>
      <c r="S14" s="22">
        <v>0</v>
      </c>
      <c r="T14" s="182">
        <v>25.3</v>
      </c>
      <c r="U14" s="22">
        <v>0</v>
      </c>
      <c r="V14" s="182">
        <v>20.100000000000001</v>
      </c>
      <c r="W14" s="21">
        <v>11274</v>
      </c>
      <c r="X14" s="21">
        <v>2244</v>
      </c>
      <c r="Y14" s="23">
        <v>0.19900000000000001</v>
      </c>
      <c r="Z14" s="21">
        <v>1637</v>
      </c>
      <c r="AA14" s="23">
        <v>0.1452</v>
      </c>
      <c r="AB14" s="21">
        <v>13977</v>
      </c>
      <c r="AC14" s="22">
        <v>98</v>
      </c>
      <c r="AD14" s="22">
        <v>701.15</v>
      </c>
      <c r="AE14" s="21">
        <v>14105</v>
      </c>
      <c r="AF14" s="22">
        <v>39</v>
      </c>
      <c r="AG14" s="22">
        <v>276.5</v>
      </c>
      <c r="AH14" s="21">
        <v>11972</v>
      </c>
      <c r="AI14" s="182">
        <v>740</v>
      </c>
      <c r="AJ14" s="182">
        <v>879.2</v>
      </c>
      <c r="AK14" s="22" t="s">
        <v>213</v>
      </c>
      <c r="AL14" s="22" t="s">
        <v>302</v>
      </c>
      <c r="AM14" s="182">
        <v>167</v>
      </c>
      <c r="AN14" s="182" t="s">
        <v>215</v>
      </c>
      <c r="AO14" s="182" t="s">
        <v>215</v>
      </c>
      <c r="AP14" s="182">
        <v>9</v>
      </c>
      <c r="AQ14" s="182">
        <v>8.9</v>
      </c>
      <c r="AR14" s="21">
        <v>10899</v>
      </c>
      <c r="AS14" s="21">
        <v>2703</v>
      </c>
      <c r="AT14" s="23">
        <v>0.248</v>
      </c>
      <c r="AU14" s="21">
        <v>13966</v>
      </c>
      <c r="AV14" s="22">
        <v>74.94</v>
      </c>
      <c r="AW14" s="68">
        <v>14000</v>
      </c>
      <c r="AX14" s="182">
        <v>85</v>
      </c>
      <c r="AY14" s="182">
        <v>121.4</v>
      </c>
      <c r="AZ14" s="68">
        <v>11274</v>
      </c>
      <c r="BA14" s="182">
        <v>5.4</v>
      </c>
      <c r="BB14" s="21">
        <v>13977</v>
      </c>
      <c r="BC14" s="22">
        <v>5</v>
      </c>
      <c r="BD14" s="26">
        <v>2795.4</v>
      </c>
      <c r="BE14" s="22">
        <v>35.799999999999997</v>
      </c>
      <c r="BF14" s="22">
        <v>525</v>
      </c>
      <c r="BG14" s="22">
        <v>127</v>
      </c>
      <c r="BH14" s="23">
        <v>0.2419</v>
      </c>
      <c r="BI14" s="68">
        <v>10560</v>
      </c>
      <c r="BJ14" s="182">
        <v>13</v>
      </c>
      <c r="BK14" s="182">
        <v>123.1</v>
      </c>
      <c r="BL14" s="22" t="s">
        <v>215</v>
      </c>
      <c r="BM14" s="22" t="s">
        <v>214</v>
      </c>
      <c r="BN14" s="22" t="s">
        <v>214</v>
      </c>
      <c r="BO14" s="68">
        <v>21231</v>
      </c>
      <c r="BP14" s="182">
        <v>10</v>
      </c>
      <c r="BQ14" s="182">
        <v>47.1</v>
      </c>
      <c r="BR14" s="21">
        <v>21604</v>
      </c>
      <c r="BS14" s="22">
        <v>14</v>
      </c>
      <c r="BT14" s="22">
        <v>64.8</v>
      </c>
      <c r="BU14" s="68">
        <v>10840</v>
      </c>
      <c r="BV14" s="182">
        <v>12</v>
      </c>
      <c r="BW14" s="182">
        <v>110.7</v>
      </c>
      <c r="BX14" s="24"/>
      <c r="BY14" s="24">
        <v>763</v>
      </c>
      <c r="BZ14" s="25">
        <v>2123</v>
      </c>
      <c r="CA14" s="24">
        <v>890</v>
      </c>
      <c r="CB14" s="25">
        <v>1766</v>
      </c>
      <c r="CC14" s="25">
        <v>1845</v>
      </c>
      <c r="CD14" s="25">
        <v>1687</v>
      </c>
      <c r="CE14" s="25">
        <v>2168</v>
      </c>
      <c r="CF14" s="25">
        <v>2784</v>
      </c>
      <c r="CG14" s="68">
        <v>7938</v>
      </c>
      <c r="CH14" s="68">
        <v>5629</v>
      </c>
      <c r="CI14" s="182">
        <v>56</v>
      </c>
      <c r="CJ14" s="182">
        <v>12</v>
      </c>
      <c r="CK14" s="182">
        <v>0</v>
      </c>
      <c r="CL14" s="182">
        <v>39</v>
      </c>
      <c r="CM14" s="182">
        <v>352</v>
      </c>
      <c r="CN14" s="39">
        <v>4727</v>
      </c>
      <c r="CO14" s="40">
        <v>73243</v>
      </c>
      <c r="CP14" s="40">
        <v>49941</v>
      </c>
      <c r="CQ14" s="44">
        <v>23094</v>
      </c>
      <c r="CR14" s="44">
        <v>59286</v>
      </c>
      <c r="CS14" s="44">
        <v>72697</v>
      </c>
      <c r="CT14" s="44">
        <v>115568</v>
      </c>
      <c r="CU14" s="44">
        <v>39129</v>
      </c>
      <c r="CV14" s="44">
        <v>96731</v>
      </c>
      <c r="CW14" s="44">
        <v>63125</v>
      </c>
      <c r="CX14" s="45">
        <v>0.24049999999999999</v>
      </c>
      <c r="CY14" s="45">
        <v>0.25979999999999998</v>
      </c>
      <c r="CZ14" s="45">
        <v>0.26340000000000002</v>
      </c>
      <c r="DA14" s="45">
        <v>0.1963</v>
      </c>
      <c r="DB14" s="45">
        <v>0.04</v>
      </c>
    </row>
    <row r="15" spans="1:106" ht="34" customHeight="1" x14ac:dyDescent="0.2">
      <c r="A15" s="13" t="s">
        <v>337</v>
      </c>
      <c r="B15" s="14">
        <v>1635</v>
      </c>
      <c r="C15" s="68">
        <v>9474</v>
      </c>
      <c r="D15" s="15">
        <v>8</v>
      </c>
      <c r="E15" s="182">
        <v>0</v>
      </c>
      <c r="F15" s="15">
        <v>734</v>
      </c>
      <c r="G15" s="68">
        <v>4746</v>
      </c>
      <c r="H15" s="15">
        <v>901</v>
      </c>
      <c r="I15" s="68">
        <v>4728</v>
      </c>
      <c r="J15" s="16">
        <v>0.44890000000000002</v>
      </c>
      <c r="K15" s="16">
        <v>0.55110000000000003</v>
      </c>
      <c r="L15" s="69">
        <v>47.2</v>
      </c>
      <c r="M15" s="14">
        <v>1630</v>
      </c>
      <c r="N15" s="15">
        <v>369</v>
      </c>
      <c r="O15" s="16">
        <v>0.22639999999999999</v>
      </c>
      <c r="P15" s="15">
        <v>7</v>
      </c>
      <c r="Q15" s="182">
        <v>5</v>
      </c>
      <c r="R15" s="182">
        <v>4</v>
      </c>
      <c r="S15" s="15">
        <v>0</v>
      </c>
      <c r="T15" s="182">
        <v>12.3</v>
      </c>
      <c r="U15" s="15">
        <v>0</v>
      </c>
      <c r="V15" s="182" t="s">
        <v>280</v>
      </c>
      <c r="W15" s="14">
        <v>1271</v>
      </c>
      <c r="X15" s="15">
        <v>282</v>
      </c>
      <c r="Y15" s="16">
        <v>0.222</v>
      </c>
      <c r="Z15" s="15">
        <v>148</v>
      </c>
      <c r="AA15" s="16">
        <v>0.1166</v>
      </c>
      <c r="AB15" s="14">
        <v>1600</v>
      </c>
      <c r="AC15" s="15">
        <v>10</v>
      </c>
      <c r="AD15" s="15">
        <v>625</v>
      </c>
      <c r="AE15" s="14">
        <v>1558</v>
      </c>
      <c r="AF15" s="15">
        <v>3</v>
      </c>
      <c r="AG15" s="15">
        <v>192.6</v>
      </c>
      <c r="AH15" s="14">
        <v>1392</v>
      </c>
      <c r="AI15" s="182">
        <v>69</v>
      </c>
      <c r="AJ15" s="70">
        <v>728.3</v>
      </c>
      <c r="AK15" s="15">
        <v>0</v>
      </c>
      <c r="AL15" s="15">
        <v>0</v>
      </c>
      <c r="AM15" s="69">
        <v>14</v>
      </c>
      <c r="AN15" s="69" t="s">
        <v>215</v>
      </c>
      <c r="AO15" s="69" t="s">
        <v>215</v>
      </c>
      <c r="AP15" s="182">
        <v>0</v>
      </c>
      <c r="AQ15" s="182">
        <v>0</v>
      </c>
      <c r="AR15" s="14">
        <v>1280</v>
      </c>
      <c r="AS15" s="15">
        <v>215</v>
      </c>
      <c r="AT15" s="16">
        <v>0.17</v>
      </c>
      <c r="AU15" s="14">
        <v>1537</v>
      </c>
      <c r="AV15" s="15">
        <v>74.8</v>
      </c>
      <c r="AW15" s="71">
        <v>1573</v>
      </c>
      <c r="AX15" s="69" t="s">
        <v>215</v>
      </c>
      <c r="AY15" s="69" t="s">
        <v>215</v>
      </c>
      <c r="AZ15" s="71">
        <v>1271</v>
      </c>
      <c r="BA15" s="69">
        <v>5.5</v>
      </c>
      <c r="BB15" s="15">
        <v>0</v>
      </c>
      <c r="BC15" s="15">
        <v>0</v>
      </c>
      <c r="BD15" s="15" t="s">
        <v>215</v>
      </c>
      <c r="BE15" s="15" t="s">
        <v>215</v>
      </c>
      <c r="BF15" s="15">
        <v>24</v>
      </c>
      <c r="BG15" s="15">
        <v>0</v>
      </c>
      <c r="BH15" s="16">
        <v>0</v>
      </c>
      <c r="BI15" s="182" t="s">
        <v>215</v>
      </c>
      <c r="BJ15" s="182" t="s">
        <v>214</v>
      </c>
      <c r="BK15" s="182" t="s">
        <v>214</v>
      </c>
      <c r="BL15" s="15" t="s">
        <v>215</v>
      </c>
      <c r="BM15" s="15" t="s">
        <v>214</v>
      </c>
      <c r="BN15" s="15" t="s">
        <v>214</v>
      </c>
      <c r="BO15" s="182" t="s">
        <v>215</v>
      </c>
      <c r="BP15" s="182" t="s">
        <v>214</v>
      </c>
      <c r="BQ15" s="182" t="s">
        <v>214</v>
      </c>
      <c r="BR15" s="15" t="s">
        <v>215</v>
      </c>
      <c r="BS15" s="15" t="s">
        <v>214</v>
      </c>
      <c r="BT15" s="15" t="s">
        <v>214</v>
      </c>
      <c r="BU15" s="182" t="s">
        <v>215</v>
      </c>
      <c r="BV15" s="182" t="s">
        <v>214</v>
      </c>
      <c r="BW15" s="182" t="s">
        <v>214</v>
      </c>
      <c r="BX15" s="18"/>
      <c r="BY15" s="18">
        <v>67</v>
      </c>
      <c r="BZ15" s="18">
        <v>172</v>
      </c>
      <c r="CA15" s="18">
        <v>96</v>
      </c>
      <c r="CB15" s="18">
        <v>243</v>
      </c>
      <c r="CC15" s="18">
        <v>206</v>
      </c>
      <c r="CD15" s="18">
        <v>208</v>
      </c>
      <c r="CE15" s="18">
        <v>186</v>
      </c>
      <c r="CF15" s="18">
        <v>457</v>
      </c>
      <c r="CG15" s="182">
        <v>599</v>
      </c>
      <c r="CH15" s="182">
        <v>822</v>
      </c>
      <c r="CI15" s="182">
        <v>1</v>
      </c>
      <c r="CJ15" s="182">
        <v>0</v>
      </c>
      <c r="CK15" s="182">
        <v>4</v>
      </c>
      <c r="CL15" s="182">
        <v>117</v>
      </c>
      <c r="CM15" s="182">
        <v>92</v>
      </c>
      <c r="CN15" s="36">
        <v>643</v>
      </c>
      <c r="CO15" s="38">
        <v>54144</v>
      </c>
      <c r="CP15" s="38">
        <v>45881</v>
      </c>
      <c r="CQ15" s="42">
        <v>41053</v>
      </c>
      <c r="CR15" s="42">
        <v>32639</v>
      </c>
      <c r="CS15" s="42">
        <v>68750</v>
      </c>
      <c r="CT15" s="42">
        <v>64224</v>
      </c>
      <c r="CU15" s="41" t="s">
        <v>215</v>
      </c>
      <c r="CV15" s="41" t="s">
        <v>215</v>
      </c>
      <c r="CW15" s="41" t="s">
        <v>215</v>
      </c>
      <c r="CX15" s="46">
        <v>0.1928</v>
      </c>
      <c r="CY15" s="46">
        <v>0.3795</v>
      </c>
      <c r="CZ15" s="46">
        <v>0.31730000000000003</v>
      </c>
      <c r="DA15" s="46">
        <v>9.9500000000000005E-2</v>
      </c>
      <c r="DB15" s="46">
        <v>1.09E-2</v>
      </c>
    </row>
    <row r="16" spans="1:106" ht="33.5" customHeight="1" x14ac:dyDescent="0.2">
      <c r="A16" s="20" t="s">
        <v>287</v>
      </c>
      <c r="B16" s="21">
        <v>5197</v>
      </c>
      <c r="C16" s="68">
        <v>31238</v>
      </c>
      <c r="D16" s="22">
        <v>18</v>
      </c>
      <c r="E16" s="182">
        <v>0</v>
      </c>
      <c r="F16" s="21">
        <v>2405</v>
      </c>
      <c r="G16" s="68">
        <v>14789</v>
      </c>
      <c r="H16" s="21">
        <v>2792</v>
      </c>
      <c r="I16" s="68">
        <v>16449</v>
      </c>
      <c r="J16" s="23">
        <v>0.46279999999999999</v>
      </c>
      <c r="K16" s="23">
        <v>0.53720000000000001</v>
      </c>
      <c r="L16" s="182">
        <v>45.3</v>
      </c>
      <c r="M16" s="21">
        <v>5122</v>
      </c>
      <c r="N16" s="22">
        <v>932</v>
      </c>
      <c r="O16" s="23">
        <v>0.182</v>
      </c>
      <c r="P16" s="22">
        <v>178</v>
      </c>
      <c r="Q16" s="182">
        <v>40</v>
      </c>
      <c r="R16" s="182">
        <v>28</v>
      </c>
      <c r="S16" s="22">
        <v>0</v>
      </c>
      <c r="T16" s="182">
        <v>21.8</v>
      </c>
      <c r="U16" s="22">
        <v>0</v>
      </c>
      <c r="V16" s="182">
        <v>15.3</v>
      </c>
      <c r="W16" s="21">
        <v>4180</v>
      </c>
      <c r="X16" s="22">
        <v>995</v>
      </c>
      <c r="Y16" s="23">
        <v>0.23799999999999999</v>
      </c>
      <c r="Z16" s="22">
        <v>508</v>
      </c>
      <c r="AA16" s="23">
        <v>0.1216</v>
      </c>
      <c r="AB16" s="21">
        <v>5155</v>
      </c>
      <c r="AC16" s="22">
        <v>50</v>
      </c>
      <c r="AD16" s="22">
        <v>969.93</v>
      </c>
      <c r="AE16" s="21">
        <v>5240</v>
      </c>
      <c r="AF16" s="22">
        <v>20</v>
      </c>
      <c r="AG16" s="22">
        <v>381.7</v>
      </c>
      <c r="AH16" s="21">
        <v>4422</v>
      </c>
      <c r="AI16" s="182">
        <v>347</v>
      </c>
      <c r="AJ16" s="70">
        <v>1110.8</v>
      </c>
      <c r="AK16" s="22">
        <v>0</v>
      </c>
      <c r="AL16" s="22">
        <v>0</v>
      </c>
      <c r="AM16" s="182">
        <v>55</v>
      </c>
      <c r="AN16" s="182" t="s">
        <v>215</v>
      </c>
      <c r="AO16" s="182" t="s">
        <v>215</v>
      </c>
      <c r="AP16" s="182">
        <v>3</v>
      </c>
      <c r="AQ16" s="2" t="s">
        <v>308</v>
      </c>
      <c r="AR16" s="21">
        <v>4054</v>
      </c>
      <c r="AS16" s="22">
        <v>827</v>
      </c>
      <c r="AT16" s="23">
        <v>0.20499999999999999</v>
      </c>
      <c r="AU16" s="21">
        <v>5254</v>
      </c>
      <c r="AV16" s="22">
        <v>74.83</v>
      </c>
      <c r="AW16" s="68">
        <v>5226</v>
      </c>
      <c r="AX16" s="182">
        <v>45</v>
      </c>
      <c r="AY16" s="182">
        <v>172.2</v>
      </c>
      <c r="AZ16" s="68">
        <v>4180</v>
      </c>
      <c r="BA16" s="182">
        <v>5.8</v>
      </c>
      <c r="BB16" s="21">
        <v>5155</v>
      </c>
      <c r="BC16" s="22">
        <v>2</v>
      </c>
      <c r="BD16" s="26">
        <v>2577.5</v>
      </c>
      <c r="BE16" s="22">
        <v>38.799999999999997</v>
      </c>
      <c r="BF16" s="22">
        <v>211</v>
      </c>
      <c r="BG16" s="22">
        <v>7</v>
      </c>
      <c r="BH16" s="23">
        <v>3.32E-2</v>
      </c>
      <c r="BI16" s="68">
        <v>4345</v>
      </c>
      <c r="BJ16" s="182">
        <v>8</v>
      </c>
      <c r="BK16" s="182">
        <v>184.1</v>
      </c>
      <c r="BL16" s="22" t="s">
        <v>215</v>
      </c>
      <c r="BM16" s="22" t="s">
        <v>214</v>
      </c>
      <c r="BN16" s="22" t="s">
        <v>214</v>
      </c>
      <c r="BO16" s="68">
        <v>7278</v>
      </c>
      <c r="BP16" s="182">
        <v>5</v>
      </c>
      <c r="BQ16" s="182">
        <v>68.7</v>
      </c>
      <c r="BR16" s="21">
        <v>8918</v>
      </c>
      <c r="BS16" s="22">
        <v>8</v>
      </c>
      <c r="BT16" s="22">
        <v>89.7</v>
      </c>
      <c r="BU16" s="68">
        <v>3906</v>
      </c>
      <c r="BV16" s="182">
        <v>4</v>
      </c>
      <c r="BW16" s="182">
        <v>102.4</v>
      </c>
      <c r="BX16" s="24"/>
      <c r="BY16" s="24">
        <v>277</v>
      </c>
      <c r="BZ16" s="24">
        <v>780</v>
      </c>
      <c r="CA16" s="24">
        <v>448</v>
      </c>
      <c r="CB16" s="24">
        <v>502</v>
      </c>
      <c r="CC16" s="24">
        <v>579</v>
      </c>
      <c r="CD16" s="24">
        <v>619</v>
      </c>
      <c r="CE16" s="24">
        <v>814</v>
      </c>
      <c r="CF16" s="25">
        <v>1178</v>
      </c>
      <c r="CG16" s="68">
        <v>1995</v>
      </c>
      <c r="CH16" s="68">
        <v>3104</v>
      </c>
      <c r="CI16" s="182">
        <v>24</v>
      </c>
      <c r="CJ16" s="182">
        <v>0</v>
      </c>
      <c r="CK16" s="182">
        <v>0</v>
      </c>
      <c r="CL16" s="182">
        <v>0</v>
      </c>
      <c r="CM16" s="182">
        <v>74</v>
      </c>
      <c r="CN16" s="39">
        <v>1945</v>
      </c>
      <c r="CO16" s="40">
        <v>57899</v>
      </c>
      <c r="CP16" s="40">
        <v>45091</v>
      </c>
      <c r="CQ16" s="44">
        <v>32630</v>
      </c>
      <c r="CR16" s="44">
        <v>41948</v>
      </c>
      <c r="CS16" s="44">
        <v>53264</v>
      </c>
      <c r="CT16" s="44">
        <v>84821</v>
      </c>
      <c r="CU16" s="44">
        <v>63958</v>
      </c>
      <c r="CV16" s="43" t="s">
        <v>215</v>
      </c>
      <c r="CW16" s="44">
        <v>29000</v>
      </c>
      <c r="CX16" s="45">
        <v>0.24629999999999999</v>
      </c>
      <c r="CY16" s="45">
        <v>0.32850000000000001</v>
      </c>
      <c r="CZ16" s="45">
        <v>0.27460000000000001</v>
      </c>
      <c r="DA16" s="45">
        <v>0.12959999999999999</v>
      </c>
      <c r="DB16" s="45">
        <v>2.1100000000000001E-2</v>
      </c>
    </row>
    <row r="17" spans="1:106" ht="33.5" customHeight="1" x14ac:dyDescent="0.2">
      <c r="A17" s="13" t="s">
        <v>157</v>
      </c>
      <c r="B17" s="14">
        <v>9610</v>
      </c>
      <c r="C17" s="68">
        <v>57977</v>
      </c>
      <c r="D17" s="15">
        <v>20</v>
      </c>
      <c r="E17" s="182">
        <v>0.1</v>
      </c>
      <c r="F17" s="14">
        <v>4947</v>
      </c>
      <c r="G17" s="68">
        <v>27889</v>
      </c>
      <c r="H17" s="14">
        <v>4663</v>
      </c>
      <c r="I17" s="68">
        <v>30088</v>
      </c>
      <c r="J17" s="16">
        <v>0.51480000000000004</v>
      </c>
      <c r="K17" s="16">
        <v>0.48520000000000002</v>
      </c>
      <c r="L17" s="69">
        <v>45.5</v>
      </c>
      <c r="M17" s="14">
        <v>9510</v>
      </c>
      <c r="N17" s="14">
        <v>1465</v>
      </c>
      <c r="O17" s="16">
        <v>0.154</v>
      </c>
      <c r="P17" s="15">
        <v>147</v>
      </c>
      <c r="Q17" s="182">
        <v>63</v>
      </c>
      <c r="R17" s="182">
        <v>44</v>
      </c>
      <c r="S17" s="15">
        <v>0</v>
      </c>
      <c r="T17" s="182">
        <v>18.100000000000001</v>
      </c>
      <c r="U17" s="15">
        <v>0</v>
      </c>
      <c r="V17" s="182">
        <v>12.6</v>
      </c>
      <c r="W17" s="14">
        <v>7547</v>
      </c>
      <c r="X17" s="14">
        <v>1638</v>
      </c>
      <c r="Y17" s="16">
        <v>0.217</v>
      </c>
      <c r="Z17" s="15">
        <v>980</v>
      </c>
      <c r="AA17" s="16">
        <v>0.12989999999999999</v>
      </c>
      <c r="AB17" s="14">
        <v>9599</v>
      </c>
      <c r="AC17" s="15">
        <v>69</v>
      </c>
      <c r="AD17" s="15">
        <v>718.82</v>
      </c>
      <c r="AE17" s="14">
        <v>9513</v>
      </c>
      <c r="AF17" s="15">
        <v>45</v>
      </c>
      <c r="AG17" s="15">
        <v>473</v>
      </c>
      <c r="AH17" s="14">
        <v>8225</v>
      </c>
      <c r="AI17" s="182">
        <v>530</v>
      </c>
      <c r="AJ17" s="182">
        <v>914.2</v>
      </c>
      <c r="AK17" s="15" t="s">
        <v>213</v>
      </c>
      <c r="AL17" s="15" t="s">
        <v>302</v>
      </c>
      <c r="AM17" s="69">
        <v>94</v>
      </c>
      <c r="AN17" s="69" t="s">
        <v>215</v>
      </c>
      <c r="AO17" s="69" t="s">
        <v>215</v>
      </c>
      <c r="AP17" s="182">
        <v>3</v>
      </c>
      <c r="AQ17" s="2" t="s">
        <v>308</v>
      </c>
      <c r="AR17" s="14">
        <v>7342</v>
      </c>
      <c r="AS17" s="14">
        <v>1417</v>
      </c>
      <c r="AT17" s="16">
        <v>0.193</v>
      </c>
      <c r="AU17" s="14">
        <v>9777</v>
      </c>
      <c r="AV17" s="15">
        <v>74.86</v>
      </c>
      <c r="AW17" s="71">
        <v>9692</v>
      </c>
      <c r="AX17" s="69">
        <v>54</v>
      </c>
      <c r="AY17" s="69">
        <v>111.4</v>
      </c>
      <c r="AZ17" s="71">
        <v>7547</v>
      </c>
      <c r="BA17" s="69">
        <v>5.6</v>
      </c>
      <c r="BB17" s="14">
        <v>9599</v>
      </c>
      <c r="BC17" s="15">
        <v>2</v>
      </c>
      <c r="BD17" s="17">
        <v>4799.5</v>
      </c>
      <c r="BE17" s="15">
        <v>20.8</v>
      </c>
      <c r="BF17" s="15">
        <v>360</v>
      </c>
      <c r="BG17" s="15">
        <v>14</v>
      </c>
      <c r="BH17" s="16">
        <v>3.8899999999999997E-2</v>
      </c>
      <c r="BI17" s="68">
        <v>8431</v>
      </c>
      <c r="BJ17" s="182">
        <v>10</v>
      </c>
      <c r="BK17" s="182">
        <v>118.6</v>
      </c>
      <c r="BL17" s="15" t="s">
        <v>215</v>
      </c>
      <c r="BM17" s="15" t="s">
        <v>214</v>
      </c>
      <c r="BN17" s="15" t="s">
        <v>214</v>
      </c>
      <c r="BO17" s="68">
        <v>17331</v>
      </c>
      <c r="BP17" s="182">
        <v>10</v>
      </c>
      <c r="BQ17" s="182">
        <v>57.7</v>
      </c>
      <c r="BR17" s="14">
        <v>16920</v>
      </c>
      <c r="BS17" s="15">
        <v>10</v>
      </c>
      <c r="BT17" s="15">
        <v>59.1</v>
      </c>
      <c r="BU17" s="68">
        <v>7751</v>
      </c>
      <c r="BV17" s="182">
        <v>8</v>
      </c>
      <c r="BW17" s="182">
        <v>103.2</v>
      </c>
      <c r="BX17" s="18"/>
      <c r="BY17" s="18">
        <v>521</v>
      </c>
      <c r="BZ17" s="19">
        <v>1462</v>
      </c>
      <c r="CA17" s="18">
        <v>612</v>
      </c>
      <c r="CB17" s="19">
        <v>1153</v>
      </c>
      <c r="CC17" s="19">
        <v>1001</v>
      </c>
      <c r="CD17" s="19">
        <v>1145</v>
      </c>
      <c r="CE17" s="19">
        <v>1470</v>
      </c>
      <c r="CF17" s="19">
        <v>2246</v>
      </c>
      <c r="CG17" s="68">
        <v>5126</v>
      </c>
      <c r="CH17" s="68">
        <v>3869</v>
      </c>
      <c r="CI17" s="182">
        <v>0</v>
      </c>
      <c r="CJ17" s="182">
        <v>16</v>
      </c>
      <c r="CK17" s="182">
        <v>0</v>
      </c>
      <c r="CL17" s="182">
        <v>276</v>
      </c>
      <c r="CM17" s="182">
        <v>323</v>
      </c>
      <c r="CN17" s="37">
        <v>4032</v>
      </c>
      <c r="CO17" s="38">
        <v>67375</v>
      </c>
      <c r="CP17" s="38">
        <v>51780</v>
      </c>
      <c r="CQ17" s="42">
        <v>24757</v>
      </c>
      <c r="CR17" s="42">
        <v>61413</v>
      </c>
      <c r="CS17" s="42">
        <v>62857</v>
      </c>
      <c r="CT17" s="42">
        <v>86289</v>
      </c>
      <c r="CU17" s="42">
        <v>80184</v>
      </c>
      <c r="CV17" s="41" t="s">
        <v>215</v>
      </c>
      <c r="CW17" s="41" t="s">
        <v>215</v>
      </c>
      <c r="CX17" s="46">
        <v>0.25819999999999999</v>
      </c>
      <c r="CY17" s="46">
        <v>0.21060000000000001</v>
      </c>
      <c r="CZ17" s="46">
        <v>0.33660000000000001</v>
      </c>
      <c r="DA17" s="46">
        <v>0.17460000000000001</v>
      </c>
      <c r="DB17" s="46">
        <v>2.01E-2</v>
      </c>
    </row>
    <row r="18" spans="1:106" s="132" customFormat="1" ht="36.5" customHeight="1" x14ac:dyDescent="0.2">
      <c r="A18" s="107" t="s">
        <v>338</v>
      </c>
      <c r="B18" s="121">
        <v>10722325</v>
      </c>
      <c r="C18" s="122">
        <v>64588584</v>
      </c>
      <c r="D18" s="123">
        <v>186</v>
      </c>
      <c r="E18" s="124">
        <v>100</v>
      </c>
      <c r="F18" s="121">
        <v>5244476</v>
      </c>
      <c r="G18" s="122">
        <v>31452814</v>
      </c>
      <c r="H18" s="121">
        <v>5477849</v>
      </c>
      <c r="I18" s="122">
        <v>33135770</v>
      </c>
      <c r="J18" s="125">
        <v>0.48909999999999998</v>
      </c>
      <c r="K18" s="125">
        <v>0.51090000000000002</v>
      </c>
      <c r="L18" s="124">
        <v>37.200000000000003</v>
      </c>
      <c r="M18" s="121">
        <v>10531900</v>
      </c>
      <c r="N18" s="121">
        <v>1336645</v>
      </c>
      <c r="O18" s="125">
        <v>0.12690000000000001</v>
      </c>
      <c r="P18" s="121">
        <v>372109</v>
      </c>
      <c r="Q18" s="122">
        <v>56188</v>
      </c>
      <c r="R18" s="122">
        <v>39978</v>
      </c>
      <c r="S18" s="121">
        <v>4714</v>
      </c>
      <c r="T18" s="122">
        <v>12.9</v>
      </c>
      <c r="U18" s="123">
        <v>12.67</v>
      </c>
      <c r="V18" s="124">
        <v>9.1999999999999993</v>
      </c>
      <c r="W18" s="121">
        <v>8315530</v>
      </c>
      <c r="X18" s="121">
        <v>1297223</v>
      </c>
      <c r="Y18" s="125">
        <v>0.156</v>
      </c>
      <c r="Z18" s="121">
        <v>1380818</v>
      </c>
      <c r="AA18" s="125">
        <v>0.1661</v>
      </c>
      <c r="AB18" s="121">
        <v>10912876</v>
      </c>
      <c r="AC18" s="121">
        <v>72662</v>
      </c>
      <c r="AD18" s="123">
        <v>665.84</v>
      </c>
      <c r="AE18" s="121">
        <v>10912876</v>
      </c>
      <c r="AF18" s="121">
        <v>31450</v>
      </c>
      <c r="AG18" s="123">
        <v>288.2</v>
      </c>
      <c r="AH18" s="121">
        <v>9170559</v>
      </c>
      <c r="AI18" s="122">
        <v>603324</v>
      </c>
      <c r="AJ18" s="124">
        <v>934.1</v>
      </c>
      <c r="AK18" s="121">
        <v>2511</v>
      </c>
      <c r="AL18" s="123">
        <v>27.4</v>
      </c>
      <c r="AM18" s="122">
        <v>124310</v>
      </c>
      <c r="AN18" s="124">
        <v>534</v>
      </c>
      <c r="AO18" s="124">
        <v>4.3</v>
      </c>
      <c r="AP18" s="124">
        <v>5109</v>
      </c>
      <c r="AQ18" s="124">
        <v>6.8</v>
      </c>
      <c r="AR18" s="121">
        <v>7979399</v>
      </c>
      <c r="AS18" s="121">
        <v>2382343</v>
      </c>
      <c r="AT18" s="125">
        <v>0.29699999999999999</v>
      </c>
      <c r="AU18" s="121">
        <v>10617423</v>
      </c>
      <c r="AV18" s="123">
        <v>78.010000000000005</v>
      </c>
      <c r="AW18" s="122">
        <v>10711871</v>
      </c>
      <c r="AX18" s="122">
        <v>40886</v>
      </c>
      <c r="AY18" s="124">
        <v>76.3</v>
      </c>
      <c r="AZ18" s="122">
        <v>16631473</v>
      </c>
      <c r="BA18" s="124">
        <v>4.9000000000000004</v>
      </c>
      <c r="BB18" s="121">
        <v>10912880</v>
      </c>
      <c r="BC18" s="121">
        <v>19531</v>
      </c>
      <c r="BD18" s="123">
        <v>558.70000000000005</v>
      </c>
      <c r="BE18" s="123">
        <v>179</v>
      </c>
      <c r="BF18" s="121">
        <v>602479</v>
      </c>
      <c r="BG18" s="121">
        <v>47447</v>
      </c>
      <c r="BH18" s="125">
        <v>7.8799999999999995E-2</v>
      </c>
      <c r="BI18" s="122">
        <v>6241486</v>
      </c>
      <c r="BJ18" s="122">
        <v>8064</v>
      </c>
      <c r="BK18" s="124">
        <v>129.19999999999999</v>
      </c>
      <c r="BL18" s="121">
        <v>5487500</v>
      </c>
      <c r="BM18" s="123">
        <v>439</v>
      </c>
      <c r="BN18" s="123">
        <v>8</v>
      </c>
      <c r="BO18" s="122">
        <v>11567430</v>
      </c>
      <c r="BP18" s="122">
        <v>4546</v>
      </c>
      <c r="BQ18" s="124">
        <v>39.299999999999997</v>
      </c>
      <c r="BR18" s="121">
        <v>11891191</v>
      </c>
      <c r="BS18" s="121">
        <v>6885</v>
      </c>
      <c r="BT18" s="123">
        <v>57.9</v>
      </c>
      <c r="BU18" s="122">
        <v>5724573</v>
      </c>
      <c r="BV18" s="122">
        <v>7711</v>
      </c>
      <c r="BW18" s="124">
        <v>134.69999999999999</v>
      </c>
      <c r="BX18" s="126"/>
      <c r="BY18" s="127">
        <v>635299</v>
      </c>
      <c r="BZ18" s="127">
        <v>1877246</v>
      </c>
      <c r="CA18" s="127">
        <v>1051160</v>
      </c>
      <c r="CB18" s="127">
        <v>1475136</v>
      </c>
      <c r="CC18" s="127">
        <v>1420198</v>
      </c>
      <c r="CD18" s="127">
        <v>1401400</v>
      </c>
      <c r="CE18" s="127">
        <v>1321441</v>
      </c>
      <c r="CF18" s="127">
        <v>1540445</v>
      </c>
      <c r="CG18" s="122">
        <v>5820019</v>
      </c>
      <c r="CH18" s="122">
        <v>3373948</v>
      </c>
      <c r="CI18" s="122">
        <v>465487</v>
      </c>
      <c r="CJ18" s="122">
        <v>37920</v>
      </c>
      <c r="CK18" s="122">
        <v>7411</v>
      </c>
      <c r="CL18" s="122">
        <v>378659</v>
      </c>
      <c r="CM18" s="122">
        <v>638881</v>
      </c>
      <c r="CN18" s="128">
        <v>3946490</v>
      </c>
      <c r="CO18" s="129">
        <v>99345</v>
      </c>
      <c r="CP18" s="129">
        <v>71355</v>
      </c>
      <c r="CQ18" s="130">
        <v>38351</v>
      </c>
      <c r="CR18" s="130">
        <v>78456</v>
      </c>
      <c r="CS18" s="130">
        <v>89398</v>
      </c>
      <c r="CT18" s="130">
        <v>105220</v>
      </c>
      <c r="CU18" s="130">
        <v>95131</v>
      </c>
      <c r="CV18" s="130">
        <v>93261</v>
      </c>
      <c r="CW18" s="130">
        <v>105104</v>
      </c>
      <c r="CX18" s="131">
        <v>0.22989999999999999</v>
      </c>
      <c r="CY18" s="131">
        <v>0.22509999999999999</v>
      </c>
      <c r="CZ18" s="131">
        <v>0.29930000000000001</v>
      </c>
      <c r="DA18" s="131">
        <v>0.19769999999999999</v>
      </c>
      <c r="DB18" s="131">
        <v>4.8000000000000001E-2</v>
      </c>
    </row>
    <row r="19" spans="1:106" ht="40.5" customHeight="1" x14ac:dyDescent="0.2">
      <c r="A19" s="13" t="s">
        <v>339</v>
      </c>
      <c r="B19" s="14">
        <v>331097593</v>
      </c>
      <c r="C19" s="14"/>
      <c r="D19" s="15">
        <v>94</v>
      </c>
      <c r="E19" s="15"/>
      <c r="F19" s="14">
        <v>164200298</v>
      </c>
      <c r="G19" s="14"/>
      <c r="H19" s="14">
        <v>166897295</v>
      </c>
      <c r="I19" s="14"/>
      <c r="J19" s="16">
        <v>0.49590000000000001</v>
      </c>
      <c r="K19" s="16">
        <v>0.50409999999999999</v>
      </c>
      <c r="L19" s="69">
        <v>38.5</v>
      </c>
      <c r="M19" s="14">
        <v>326147510</v>
      </c>
      <c r="N19" s="14">
        <v>41941456</v>
      </c>
      <c r="O19" s="16">
        <v>0.12859999999999999</v>
      </c>
      <c r="P19" s="14">
        <v>10683985</v>
      </c>
      <c r="Q19" s="14"/>
      <c r="R19" s="14"/>
      <c r="S19" s="14">
        <v>102904</v>
      </c>
      <c r="T19" s="14"/>
      <c r="U19" s="15">
        <v>9.6300000000000008</v>
      </c>
      <c r="V19" s="15"/>
      <c r="W19" s="14">
        <v>259755978</v>
      </c>
      <c r="X19" s="14">
        <v>36442044</v>
      </c>
      <c r="Y19" s="16">
        <v>0.14000000000000001</v>
      </c>
      <c r="Z19" s="14">
        <v>47041079</v>
      </c>
      <c r="AA19" s="16">
        <v>0.18110000000000001</v>
      </c>
      <c r="AB19" s="14">
        <v>333287557</v>
      </c>
      <c r="AC19" s="14">
        <v>1649716</v>
      </c>
      <c r="AD19" s="15">
        <v>495</v>
      </c>
      <c r="AE19" s="14">
        <v>333287557</v>
      </c>
      <c r="AF19" s="14">
        <v>648056</v>
      </c>
      <c r="AG19" s="15">
        <v>194.4</v>
      </c>
      <c r="AH19" s="27">
        <v>282494087</v>
      </c>
      <c r="AI19" s="27"/>
      <c r="AJ19" s="27"/>
      <c r="AK19" s="27">
        <v>37601</v>
      </c>
      <c r="AL19" s="28">
        <v>13.3</v>
      </c>
      <c r="AM19" s="71">
        <v>3674943</v>
      </c>
      <c r="AN19" s="71">
        <v>15057</v>
      </c>
      <c r="AO19" s="69">
        <v>4.0999999999999996</v>
      </c>
      <c r="AP19" s="69"/>
      <c r="AQ19" s="69"/>
      <c r="AR19" s="14">
        <v>232757930</v>
      </c>
      <c r="AS19" s="14">
        <v>70168831</v>
      </c>
      <c r="AT19" s="16">
        <v>0.30099999999999999</v>
      </c>
      <c r="AU19" s="14">
        <v>328239523</v>
      </c>
      <c r="AV19" s="15">
        <v>79.05</v>
      </c>
      <c r="AW19" s="71">
        <v>330014476</v>
      </c>
      <c r="AX19" s="71">
        <v>1856446</v>
      </c>
      <c r="AY19" s="69">
        <v>112.5</v>
      </c>
      <c r="AZ19" s="71">
        <v>519512095</v>
      </c>
      <c r="BA19" s="69">
        <v>4.9000000000000004</v>
      </c>
      <c r="BB19" s="14">
        <v>333266937</v>
      </c>
      <c r="BC19" s="14">
        <v>1045210</v>
      </c>
      <c r="BD19" s="15">
        <v>318.89999999999998</v>
      </c>
      <c r="BE19" s="15">
        <v>313.60000000000002</v>
      </c>
      <c r="BF19" s="14">
        <v>17571402</v>
      </c>
      <c r="BG19" s="14">
        <v>1220306</v>
      </c>
      <c r="BH19" s="16">
        <v>6.9400000000000003E-2</v>
      </c>
      <c r="BI19" s="68">
        <v>196653543</v>
      </c>
      <c r="BJ19" s="68">
        <v>249750</v>
      </c>
      <c r="BK19" s="182">
        <v>127</v>
      </c>
      <c r="BL19" s="14">
        <v>167373333</v>
      </c>
      <c r="BM19" s="14">
        <v>12553</v>
      </c>
      <c r="BN19" s="15">
        <v>7.5</v>
      </c>
      <c r="BO19" s="68">
        <v>378139726</v>
      </c>
      <c r="BP19" s="68">
        <v>138021</v>
      </c>
      <c r="BQ19" s="182">
        <v>36.5</v>
      </c>
      <c r="BR19" s="14">
        <v>398716666</v>
      </c>
      <c r="BS19" s="14">
        <v>215307</v>
      </c>
      <c r="BT19" s="15">
        <v>54</v>
      </c>
      <c r="BU19" s="68">
        <v>192519457</v>
      </c>
      <c r="BV19" s="68">
        <v>212734</v>
      </c>
      <c r="BW19" s="182">
        <v>110.5</v>
      </c>
      <c r="BX19" s="18"/>
      <c r="BY19" s="19">
        <v>19004925</v>
      </c>
      <c r="BZ19" s="19">
        <v>54208780</v>
      </c>
      <c r="CA19" s="19">
        <v>31282896</v>
      </c>
      <c r="CB19" s="19">
        <v>45388153</v>
      </c>
      <c r="CC19" s="19">
        <v>42810359</v>
      </c>
      <c r="CD19" s="19">
        <v>41087357</v>
      </c>
      <c r="CE19" s="19">
        <v>42577475</v>
      </c>
      <c r="CF19" s="19">
        <v>54737648</v>
      </c>
      <c r="CG19" s="68">
        <v>218123424</v>
      </c>
      <c r="CH19" s="68">
        <v>41288572</v>
      </c>
      <c r="CI19" s="68">
        <v>19112979</v>
      </c>
      <c r="CJ19" s="68">
        <v>2786431</v>
      </c>
      <c r="CK19" s="68">
        <v>624863</v>
      </c>
      <c r="CL19" s="68">
        <v>20018544</v>
      </c>
      <c r="CM19" s="68">
        <v>29142780</v>
      </c>
      <c r="CN19" s="37">
        <v>125736353</v>
      </c>
      <c r="CO19" s="38">
        <v>105833</v>
      </c>
      <c r="CP19" s="38">
        <v>75149</v>
      </c>
      <c r="CQ19" s="42">
        <v>38445</v>
      </c>
      <c r="CR19" s="42">
        <v>83185</v>
      </c>
      <c r="CS19" s="42">
        <v>97644</v>
      </c>
      <c r="CT19" s="42">
        <v>113664</v>
      </c>
      <c r="CU19" s="42">
        <v>106473</v>
      </c>
      <c r="CV19" s="42">
        <v>104420</v>
      </c>
      <c r="CW19" s="42">
        <v>113370</v>
      </c>
      <c r="CX19" s="46">
        <v>0.14779999999999999</v>
      </c>
      <c r="CY19" s="46">
        <v>0.18049999999999999</v>
      </c>
      <c r="CZ19" s="46">
        <v>0.29620000000000002</v>
      </c>
      <c r="DA19" s="46">
        <v>0.2611</v>
      </c>
      <c r="DB19" s="46">
        <v>0.1143</v>
      </c>
    </row>
    <row r="20" spans="1:106" ht="40.5" customHeight="1" x14ac:dyDescent="0.2">
      <c r="A20" s="13"/>
      <c r="B20" s="29" t="s">
        <v>193</v>
      </c>
      <c r="C20" s="30"/>
      <c r="D20" s="31"/>
      <c r="E20" s="31"/>
      <c r="F20" s="29" t="s">
        <v>170</v>
      </c>
      <c r="G20" s="29" t="s">
        <v>171</v>
      </c>
      <c r="H20" s="30"/>
      <c r="I20" s="32" t="s">
        <v>327</v>
      </c>
      <c r="J20" s="32" t="s">
        <v>175</v>
      </c>
      <c r="K20" s="32" t="s">
        <v>176</v>
      </c>
      <c r="L20" s="32" t="s">
        <v>177</v>
      </c>
      <c r="M20" s="32" t="s">
        <v>178</v>
      </c>
      <c r="N20" s="32" t="s">
        <v>179</v>
      </c>
      <c r="O20" s="32" t="s">
        <v>180</v>
      </c>
      <c r="P20" s="32" t="s">
        <v>181</v>
      </c>
      <c r="Q20" s="32" t="s">
        <v>182</v>
      </c>
      <c r="R20" s="30"/>
      <c r="S20" s="30"/>
      <c r="T20" s="30"/>
      <c r="U20" s="31"/>
      <c r="V20" s="31"/>
      <c r="W20" s="30"/>
      <c r="X20" s="30"/>
      <c r="Y20" s="33"/>
      <c r="Z20" s="30"/>
      <c r="AA20" s="33"/>
      <c r="AB20" s="30"/>
      <c r="AC20" s="30"/>
      <c r="AD20" s="31"/>
      <c r="AE20" s="30"/>
      <c r="AF20" s="30"/>
      <c r="AG20" s="31"/>
      <c r="AH20" s="34"/>
      <c r="AI20" s="34"/>
      <c r="AJ20" s="34"/>
      <c r="AK20" s="34"/>
      <c r="AL20" s="35"/>
      <c r="AM20" s="71"/>
      <c r="AN20" s="71"/>
      <c r="AO20" s="69"/>
      <c r="AP20" s="69"/>
      <c r="AQ20" s="69"/>
      <c r="AR20" s="30"/>
      <c r="AS20" s="30"/>
      <c r="AT20" s="33"/>
      <c r="AU20" s="30"/>
      <c r="AV20" s="31"/>
      <c r="AW20" s="71"/>
      <c r="AX20" s="71"/>
      <c r="AY20" s="69"/>
      <c r="AZ20" s="71"/>
      <c r="BA20" s="69"/>
      <c r="BB20" s="30"/>
      <c r="BC20" s="30"/>
      <c r="BD20" s="31"/>
      <c r="BE20" s="31"/>
      <c r="BF20" s="30"/>
      <c r="BG20" s="30"/>
      <c r="BH20" s="33"/>
      <c r="BI20" s="68"/>
      <c r="BJ20" s="68"/>
      <c r="BK20" s="182"/>
      <c r="BL20" s="30"/>
      <c r="BM20" s="30"/>
      <c r="BN20" s="31"/>
      <c r="BO20" s="68"/>
      <c r="BP20" s="68"/>
      <c r="BQ20" s="182"/>
      <c r="BR20" s="30"/>
      <c r="BS20" s="30"/>
      <c r="BT20" s="31"/>
      <c r="BU20" s="68"/>
      <c r="BV20" s="68"/>
      <c r="BW20" s="182"/>
      <c r="BX20" s="182"/>
      <c r="BY20" s="182"/>
      <c r="BZ20" s="182"/>
      <c r="CA20" s="182"/>
      <c r="CB20" s="182"/>
      <c r="CC20" s="182"/>
      <c r="CD20" s="182"/>
      <c r="CE20" s="182"/>
      <c r="CF20" s="182"/>
      <c r="CG20" s="182"/>
      <c r="CH20" s="182"/>
      <c r="CI20" s="182"/>
      <c r="CJ20" s="182"/>
      <c r="CK20" s="68"/>
      <c r="CL20" s="68"/>
      <c r="CM20" s="182"/>
    </row>
    <row r="21" spans="1:106" ht="41.5" customHeight="1" x14ac:dyDescent="0.2">
      <c r="A21" s="13" t="s">
        <v>198</v>
      </c>
      <c r="B21" s="74">
        <f t="shared" ref="B21:B34" si="0">AVERAGE(B5:C5)</f>
        <v>82463.5</v>
      </c>
      <c r="C21" s="182"/>
      <c r="D21" s="182"/>
      <c r="E21" s="182"/>
      <c r="F21" s="74">
        <f>AVERAGE(F5:G5)</f>
        <v>39468</v>
      </c>
      <c r="G21" s="74">
        <f>AVERAGE(H5:I5)</f>
        <v>42995.5</v>
      </c>
      <c r="H21" s="182"/>
      <c r="I21" s="18"/>
      <c r="J21" s="19">
        <v>1484</v>
      </c>
      <c r="K21" s="19">
        <v>4607</v>
      </c>
      <c r="L21" s="19">
        <v>2662</v>
      </c>
      <c r="M21" s="19">
        <v>2191</v>
      </c>
      <c r="N21" s="19">
        <v>3070</v>
      </c>
      <c r="O21" s="19">
        <v>2947</v>
      </c>
      <c r="P21" s="19">
        <v>3409</v>
      </c>
      <c r="Q21" s="19">
        <v>3967</v>
      </c>
      <c r="R21" s="182"/>
      <c r="S21" s="182"/>
      <c r="T21" s="182"/>
      <c r="U21" s="182"/>
      <c r="V21" s="182"/>
      <c r="W21" s="182"/>
      <c r="X21" s="182"/>
      <c r="Y21" s="182"/>
      <c r="Z21" s="182"/>
      <c r="AA21" s="73">
        <f>AVERAGE(AA5:AA17)</f>
        <v>0.14060769230769229</v>
      </c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  <c r="AR21" s="182"/>
      <c r="AS21" s="73">
        <f>AVERAGE(AT5:AT17)</f>
        <v>0.24784615384615391</v>
      </c>
      <c r="AT21" s="182"/>
      <c r="AU21" s="182"/>
      <c r="AV21" s="182"/>
      <c r="AW21" s="182"/>
      <c r="AX21" s="182"/>
      <c r="AY21" s="182"/>
      <c r="AZ21" s="182"/>
      <c r="BA21" s="182"/>
      <c r="BB21" s="182"/>
      <c r="BC21" s="182"/>
      <c r="BD21" s="182"/>
      <c r="BE21" s="182"/>
      <c r="BF21" s="182"/>
      <c r="BG21" s="182"/>
      <c r="BH21" s="182"/>
      <c r="BI21" s="182"/>
      <c r="BJ21" s="182"/>
      <c r="BK21" s="182"/>
      <c r="BL21" s="182"/>
      <c r="BM21" s="182"/>
      <c r="BN21" s="182"/>
      <c r="BO21" s="182"/>
      <c r="BP21" s="182"/>
      <c r="BQ21" s="182"/>
      <c r="BR21" s="182"/>
      <c r="BS21" s="182"/>
      <c r="BT21" s="182"/>
      <c r="BU21" s="182"/>
      <c r="BV21" s="182"/>
      <c r="BW21" s="182"/>
      <c r="BX21" s="182"/>
      <c r="BY21" s="182"/>
      <c r="BZ21" s="182"/>
      <c r="CA21" s="182"/>
      <c r="CB21" s="182"/>
      <c r="CC21" s="182"/>
      <c r="CD21" s="182"/>
      <c r="CE21" s="182"/>
      <c r="CF21" s="182"/>
      <c r="CG21" s="182"/>
      <c r="CH21" s="182"/>
      <c r="CI21" s="182"/>
      <c r="CJ21" s="182"/>
      <c r="CK21" s="182"/>
      <c r="CL21" s="182"/>
      <c r="CM21" s="182"/>
    </row>
    <row r="22" spans="1:106" ht="43" customHeight="1" x14ac:dyDescent="0.2">
      <c r="A22" s="20" t="s">
        <v>328</v>
      </c>
      <c r="B22" s="74">
        <f t="shared" si="0"/>
        <v>557761.5</v>
      </c>
      <c r="C22" s="182"/>
      <c r="D22" s="182"/>
      <c r="E22" s="182"/>
      <c r="F22" s="74">
        <f>AVERAGE(F6:G6)</f>
        <v>272792</v>
      </c>
      <c r="G22" s="74">
        <f t="shared" ref="G22:G34" si="1">AVERAGE(H6:I6)</f>
        <v>284969.5</v>
      </c>
      <c r="H22" s="182"/>
      <c r="I22" s="24"/>
      <c r="J22" s="25">
        <v>9500</v>
      </c>
      <c r="K22" s="25">
        <v>29755</v>
      </c>
      <c r="L22" s="25">
        <v>12875</v>
      </c>
      <c r="M22" s="25">
        <v>21030</v>
      </c>
      <c r="N22" s="25">
        <v>22631</v>
      </c>
      <c r="O22" s="25">
        <v>19907</v>
      </c>
      <c r="P22" s="25">
        <v>18281</v>
      </c>
      <c r="Q22" s="25">
        <v>22942</v>
      </c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 s="182"/>
      <c r="BA22" s="182"/>
      <c r="BB22" s="182"/>
      <c r="BC22" s="182"/>
      <c r="BD22" s="182"/>
      <c r="BE22" s="182"/>
      <c r="BF22" s="182"/>
      <c r="BG22" s="182"/>
      <c r="BH22" s="182"/>
      <c r="BI22" s="182"/>
      <c r="BJ22" s="182"/>
      <c r="BK22" s="182"/>
      <c r="BL22" s="182"/>
      <c r="BM22" s="182"/>
      <c r="BN22" s="182"/>
      <c r="BO22" s="182"/>
      <c r="BP22" s="182"/>
      <c r="BQ22" s="182"/>
      <c r="BR22" s="182"/>
      <c r="BS22" s="182"/>
      <c r="BT22" s="182"/>
      <c r="BU22" s="182"/>
      <c r="BV22" s="182"/>
      <c r="BW22" s="182"/>
      <c r="BX22" s="182"/>
      <c r="BY22" s="182"/>
      <c r="BZ22" s="182"/>
      <c r="CA22" s="182"/>
      <c r="CB22" s="182"/>
      <c r="CC22" s="182"/>
      <c r="CD22" s="182"/>
      <c r="CE22" s="182"/>
      <c r="CF22" s="182"/>
      <c r="CG22" s="182"/>
      <c r="CH22" s="182"/>
      <c r="CI22" s="182"/>
      <c r="CJ22" s="182"/>
      <c r="CK22" s="182"/>
      <c r="CL22" s="182"/>
      <c r="CM22" s="182"/>
    </row>
    <row r="23" spans="1:106" ht="43" customHeight="1" x14ac:dyDescent="0.2">
      <c r="A23" s="13" t="s">
        <v>329</v>
      </c>
      <c r="B23" s="74">
        <f t="shared" si="0"/>
        <v>79718</v>
      </c>
      <c r="C23" s="182"/>
      <c r="D23" s="182"/>
      <c r="E23" s="182"/>
      <c r="F23" s="74">
        <f>AVERAGE(F7:G7)</f>
        <v>39832.5</v>
      </c>
      <c r="G23" s="74">
        <f t="shared" si="1"/>
        <v>39885.5</v>
      </c>
      <c r="H23" s="182"/>
      <c r="I23" s="18"/>
      <c r="J23" s="19">
        <v>1585</v>
      </c>
      <c r="K23" s="19">
        <v>4132</v>
      </c>
      <c r="L23" s="19">
        <v>1917</v>
      </c>
      <c r="M23" s="19">
        <v>3249</v>
      </c>
      <c r="N23" s="19">
        <v>2881</v>
      </c>
      <c r="O23" s="19">
        <v>2571</v>
      </c>
      <c r="P23" s="19">
        <v>2907</v>
      </c>
      <c r="Q23" s="19">
        <v>3665</v>
      </c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  <c r="AT23" s="182"/>
      <c r="AU23" s="182"/>
      <c r="AV23" s="182"/>
      <c r="AW23" s="182"/>
      <c r="AX23" s="182"/>
      <c r="AY23" s="182"/>
      <c r="AZ23" s="182"/>
      <c r="BA23" s="182"/>
      <c r="BB23" s="182"/>
      <c r="BC23" s="182"/>
      <c r="BD23" s="182"/>
      <c r="BE23" s="182"/>
      <c r="BF23" s="182"/>
      <c r="BG23" s="182"/>
      <c r="BH23" s="182"/>
      <c r="BI23" s="182"/>
      <c r="BJ23" s="182"/>
      <c r="BK23" s="182"/>
      <c r="BL23" s="182"/>
      <c r="BM23" s="182"/>
      <c r="BN23" s="182"/>
      <c r="BO23" s="182"/>
      <c r="BP23" s="182"/>
      <c r="BQ23" s="182"/>
      <c r="BR23" s="182"/>
      <c r="BS23" s="182"/>
      <c r="BT23" s="182"/>
      <c r="BU23" s="182"/>
      <c r="BV23" s="182"/>
      <c r="BW23" s="182"/>
      <c r="BX23" s="182"/>
      <c r="BY23" s="182"/>
      <c r="BZ23" s="182"/>
      <c r="CA23" s="182"/>
      <c r="CB23" s="182"/>
      <c r="CC23" s="182"/>
      <c r="CD23" s="182"/>
      <c r="CE23" s="182"/>
      <c r="CF23" s="182"/>
      <c r="CG23" s="182"/>
      <c r="CH23" s="182"/>
      <c r="CI23" s="182"/>
      <c r="CJ23" s="182"/>
      <c r="CK23" s="182"/>
      <c r="CL23" s="182"/>
      <c r="CM23" s="182"/>
    </row>
    <row r="24" spans="1:106" ht="39.5" customHeight="1" x14ac:dyDescent="0.2">
      <c r="A24" s="20" t="s">
        <v>330</v>
      </c>
      <c r="B24" s="74">
        <f t="shared" si="0"/>
        <v>10332.5</v>
      </c>
      <c r="C24" s="182"/>
      <c r="D24" s="182"/>
      <c r="E24" s="182"/>
      <c r="F24" s="74">
        <f>AVERAGE(F8:G8)</f>
        <v>5070.5</v>
      </c>
      <c r="G24" s="74">
        <f t="shared" si="1"/>
        <v>5262</v>
      </c>
      <c r="H24" s="182"/>
      <c r="I24" s="24"/>
      <c r="J24" s="24">
        <v>141</v>
      </c>
      <c r="K24" s="24">
        <v>481</v>
      </c>
      <c r="L24" s="24">
        <v>294</v>
      </c>
      <c r="M24" s="24">
        <v>262</v>
      </c>
      <c r="N24" s="24">
        <v>392</v>
      </c>
      <c r="O24" s="24">
        <v>424</v>
      </c>
      <c r="P24" s="24">
        <v>416</v>
      </c>
      <c r="Q24" s="24">
        <v>493</v>
      </c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182"/>
      <c r="AU24" s="182"/>
      <c r="AV24" s="182"/>
      <c r="AW24" s="182"/>
      <c r="AX24" s="182"/>
      <c r="AY24" s="182"/>
      <c r="AZ24" s="182"/>
      <c r="BA24" s="182"/>
      <c r="BB24" s="182"/>
      <c r="BC24" s="182"/>
      <c r="BD24" s="182"/>
      <c r="BE24" s="182"/>
      <c r="BF24" s="182"/>
      <c r="BG24" s="182"/>
      <c r="BH24" s="182"/>
      <c r="BI24" s="182"/>
      <c r="BJ24" s="182"/>
      <c r="BK24" s="182"/>
      <c r="BL24" s="182"/>
      <c r="BM24" s="182"/>
      <c r="BN24" s="182"/>
      <c r="BO24" s="182"/>
      <c r="BP24" s="182"/>
      <c r="BQ24" s="182"/>
      <c r="BR24" s="182"/>
      <c r="BS24" s="182"/>
      <c r="BT24" s="182"/>
      <c r="BU24" s="182"/>
      <c r="BV24" s="182"/>
      <c r="BW24" s="182"/>
      <c r="BX24" s="182"/>
      <c r="BY24" s="182"/>
      <c r="BZ24" s="182"/>
      <c r="CA24" s="182"/>
      <c r="CB24" s="182"/>
      <c r="CC24" s="182"/>
      <c r="CD24" s="182"/>
      <c r="CE24" s="182"/>
      <c r="CF24" s="182"/>
      <c r="CG24" s="182"/>
      <c r="CH24" s="182"/>
      <c r="CI24" s="182"/>
      <c r="CJ24" s="182"/>
      <c r="CK24" s="182"/>
      <c r="CL24" s="182"/>
      <c r="CM24" s="182"/>
    </row>
    <row r="25" spans="1:106" ht="37.5" customHeight="1" x14ac:dyDescent="0.2">
      <c r="A25" s="13" t="s">
        <v>331</v>
      </c>
      <c r="B25" s="74">
        <f t="shared" si="0"/>
        <v>53835.5</v>
      </c>
      <c r="C25" s="182"/>
      <c r="D25" s="182"/>
      <c r="E25" s="182"/>
      <c r="F25" s="74">
        <f t="shared" ref="F25:F34" si="2">AVERAGE(F9:G9)</f>
        <v>26148.5</v>
      </c>
      <c r="G25" s="74">
        <f t="shared" si="1"/>
        <v>27687</v>
      </c>
      <c r="H25" s="182"/>
      <c r="I25" s="18"/>
      <c r="J25" s="18">
        <v>921</v>
      </c>
      <c r="K25" s="19">
        <v>2709</v>
      </c>
      <c r="L25" s="19">
        <v>1411</v>
      </c>
      <c r="M25" s="19">
        <v>1778</v>
      </c>
      <c r="N25" s="19">
        <v>1987</v>
      </c>
      <c r="O25" s="19">
        <v>1786</v>
      </c>
      <c r="P25" s="19">
        <v>2123</v>
      </c>
      <c r="Q25" s="19">
        <v>2876</v>
      </c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  <c r="BC25" s="182"/>
      <c r="BD25" s="182"/>
      <c r="BE25" s="182"/>
      <c r="BF25" s="182"/>
      <c r="BG25" s="182"/>
      <c r="BH25" s="182"/>
      <c r="BI25" s="182"/>
      <c r="BJ25" s="182"/>
      <c r="BK25" s="182"/>
      <c r="BL25" s="182"/>
      <c r="BM25" s="182"/>
      <c r="BN25" s="182"/>
      <c r="BO25" s="182"/>
      <c r="BP25" s="182"/>
      <c r="BQ25" s="182"/>
      <c r="BR25" s="182"/>
      <c r="BS25" s="182"/>
      <c r="BT25" s="182"/>
      <c r="BU25" s="182"/>
      <c r="BV25" s="4"/>
      <c r="BW25" s="4"/>
      <c r="BX25" s="4"/>
      <c r="BY25" s="4"/>
      <c r="BZ25" s="4"/>
      <c r="CA25" s="4"/>
      <c r="CB25" s="4"/>
      <c r="CC25" s="182"/>
      <c r="CD25" s="182"/>
      <c r="CE25" s="182"/>
      <c r="CF25" s="182"/>
      <c r="CG25" s="182"/>
      <c r="CH25" s="182"/>
      <c r="CI25" s="182"/>
      <c r="CJ25" s="182"/>
      <c r="CK25" s="182"/>
      <c r="CL25" s="182"/>
      <c r="CM25" s="182"/>
    </row>
    <row r="26" spans="1:106" ht="46.5" customHeight="1" x14ac:dyDescent="0.2">
      <c r="A26" s="20" t="s">
        <v>332</v>
      </c>
      <c r="B26" s="74">
        <f t="shared" si="0"/>
        <v>30382</v>
      </c>
      <c r="C26" s="182"/>
      <c r="D26" s="182"/>
      <c r="E26" s="182"/>
      <c r="F26" s="74">
        <f t="shared" si="2"/>
        <v>16053</v>
      </c>
      <c r="G26" s="74">
        <f t="shared" si="1"/>
        <v>14329</v>
      </c>
      <c r="H26" s="182"/>
      <c r="I26" s="24"/>
      <c r="J26" s="24">
        <v>266</v>
      </c>
      <c r="K26" s="25">
        <v>1357</v>
      </c>
      <c r="L26" s="24">
        <v>474</v>
      </c>
      <c r="M26" s="24">
        <v>910</v>
      </c>
      <c r="N26" s="25">
        <v>1379</v>
      </c>
      <c r="O26" s="24">
        <v>915</v>
      </c>
      <c r="P26" s="25">
        <v>1552</v>
      </c>
      <c r="Q26" s="25">
        <v>1851</v>
      </c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2"/>
      <c r="AU26" s="182"/>
      <c r="AV26" s="182"/>
      <c r="AW26" s="182"/>
      <c r="AX26" s="182"/>
      <c r="AY26" s="182"/>
      <c r="AZ26" s="182"/>
      <c r="BA26" s="182"/>
      <c r="BB26" s="182"/>
      <c r="BC26" s="182"/>
      <c r="BD26" s="182"/>
      <c r="BE26" s="182"/>
      <c r="BF26" s="182"/>
      <c r="BG26" s="182"/>
      <c r="BH26" s="182"/>
      <c r="BI26" s="182"/>
      <c r="BJ26" s="182"/>
      <c r="BK26" s="182"/>
      <c r="BL26" s="182"/>
      <c r="BM26" s="182"/>
      <c r="BN26" s="182"/>
      <c r="BO26" s="182"/>
      <c r="BP26" s="182"/>
      <c r="BQ26" s="182"/>
      <c r="BR26" s="182"/>
      <c r="BS26" s="182"/>
      <c r="BT26" s="182"/>
      <c r="BU26" s="182"/>
      <c r="BV26" s="68"/>
      <c r="BW26" s="68"/>
      <c r="BX26" s="182"/>
      <c r="BY26" s="182"/>
      <c r="BZ26" s="182"/>
      <c r="CA26" s="182"/>
      <c r="CB26" s="182"/>
      <c r="CC26" s="182"/>
      <c r="CD26" s="182"/>
      <c r="CE26" s="182"/>
      <c r="CF26" s="182"/>
      <c r="CG26" s="182"/>
      <c r="CH26" s="182"/>
      <c r="CI26" s="182"/>
      <c r="CJ26" s="182"/>
      <c r="CK26" s="182"/>
      <c r="CL26" s="182"/>
      <c r="CM26" s="182"/>
    </row>
    <row r="27" spans="1:106" ht="41" customHeight="1" x14ac:dyDescent="0.2">
      <c r="A27" s="13" t="s">
        <v>333</v>
      </c>
      <c r="B27" s="74">
        <f t="shared" si="0"/>
        <v>27531</v>
      </c>
      <c r="C27" s="182"/>
      <c r="D27" s="182"/>
      <c r="E27" s="182"/>
      <c r="F27" s="74">
        <f t="shared" si="2"/>
        <v>13370</v>
      </c>
      <c r="G27" s="74">
        <f t="shared" si="1"/>
        <v>14161</v>
      </c>
      <c r="H27" s="182"/>
      <c r="I27" s="18"/>
      <c r="J27" s="18">
        <v>315</v>
      </c>
      <c r="K27" s="19">
        <v>1176</v>
      </c>
      <c r="L27" s="18">
        <v>540</v>
      </c>
      <c r="M27" s="18">
        <v>654</v>
      </c>
      <c r="N27" s="18">
        <v>953</v>
      </c>
      <c r="O27" s="18">
        <v>910</v>
      </c>
      <c r="P27" s="19">
        <v>1265</v>
      </c>
      <c r="Q27" s="19">
        <v>1913</v>
      </c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2"/>
      <c r="AT27" s="182"/>
      <c r="AU27" s="182"/>
      <c r="AV27" s="182"/>
      <c r="AW27" s="182"/>
      <c r="AX27" s="182"/>
      <c r="AY27" s="182"/>
      <c r="AZ27" s="182"/>
      <c r="BA27" s="182"/>
      <c r="BB27" s="182"/>
      <c r="BC27" s="182"/>
      <c r="BD27" s="182"/>
      <c r="BE27" s="182"/>
      <c r="BF27" s="182"/>
      <c r="BG27" s="182"/>
      <c r="BH27" s="182"/>
      <c r="BI27" s="182"/>
      <c r="BJ27" s="182"/>
      <c r="BK27" s="182"/>
      <c r="BL27" s="182"/>
      <c r="BM27" s="182"/>
      <c r="BN27" s="182"/>
      <c r="BO27" s="182"/>
      <c r="BP27" s="182"/>
      <c r="BQ27" s="182"/>
      <c r="BR27" s="182"/>
      <c r="BS27" s="182"/>
      <c r="BT27" s="182"/>
      <c r="BU27" s="182"/>
      <c r="BV27" s="68"/>
      <c r="BW27" s="68"/>
      <c r="BX27" s="68"/>
      <c r="BY27" s="182"/>
      <c r="BZ27" s="182"/>
      <c r="CA27" s="68"/>
      <c r="CB27" s="68"/>
      <c r="CC27" s="182"/>
      <c r="CD27" s="182"/>
      <c r="CE27" s="182"/>
      <c r="CF27" s="182"/>
      <c r="CG27" s="182"/>
      <c r="CH27" s="182"/>
      <c r="CI27" s="182"/>
      <c r="CJ27" s="182"/>
      <c r="CK27" s="182"/>
      <c r="CL27" s="182"/>
      <c r="CM27" s="182"/>
    </row>
    <row r="28" spans="1:106" ht="39.5" customHeight="1" x14ac:dyDescent="0.2">
      <c r="A28" s="20" t="s">
        <v>334</v>
      </c>
      <c r="B28" s="74">
        <f t="shared" si="0"/>
        <v>75432.5</v>
      </c>
      <c r="C28" s="182"/>
      <c r="D28" s="182"/>
      <c r="E28" s="182"/>
      <c r="F28" s="74">
        <f t="shared" si="2"/>
        <v>35593.5</v>
      </c>
      <c r="G28" s="74">
        <f t="shared" si="1"/>
        <v>39839</v>
      </c>
      <c r="H28" s="182"/>
      <c r="I28" s="24"/>
      <c r="J28" s="25">
        <v>1358</v>
      </c>
      <c r="K28" s="25">
        <v>4044</v>
      </c>
      <c r="L28" s="25">
        <v>1608</v>
      </c>
      <c r="M28" s="25">
        <v>2770</v>
      </c>
      <c r="N28" s="25">
        <v>2500</v>
      </c>
      <c r="O28" s="25">
        <v>2534</v>
      </c>
      <c r="P28" s="25">
        <v>3008</v>
      </c>
      <c r="Q28" s="25">
        <v>3893</v>
      </c>
      <c r="R28" s="182"/>
      <c r="S28" s="182"/>
      <c r="T28" s="182"/>
      <c r="U28" s="182"/>
      <c r="V28" s="182"/>
      <c r="W28" s="182"/>
      <c r="X28" s="182"/>
      <c r="Y28" s="182"/>
      <c r="Z28" s="4"/>
      <c r="AA28" s="4"/>
      <c r="AB28" s="4"/>
      <c r="AC28" s="4"/>
      <c r="AD28" s="4"/>
      <c r="AE28" s="182"/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182"/>
      <c r="AR28" s="182"/>
      <c r="AS28" s="182"/>
      <c r="AT28" s="182"/>
      <c r="AU28" s="182"/>
      <c r="AV28" s="182"/>
      <c r="AW28" s="182"/>
      <c r="AX28" s="182"/>
      <c r="AY28" s="182"/>
      <c r="AZ28" s="182"/>
      <c r="BA28" s="182"/>
      <c r="BB28" s="182"/>
      <c r="BC28" s="182"/>
      <c r="BD28" s="182"/>
      <c r="BE28" s="182"/>
      <c r="BF28" s="182"/>
      <c r="BG28" s="182"/>
      <c r="BH28" s="182"/>
      <c r="BI28" s="182"/>
      <c r="BJ28" s="182"/>
      <c r="BK28" s="182"/>
      <c r="BL28" s="182"/>
      <c r="BM28" s="182"/>
      <c r="BN28" s="182"/>
      <c r="BO28" s="182"/>
      <c r="BP28" s="182"/>
      <c r="BQ28" s="182"/>
      <c r="BR28" s="182"/>
      <c r="BS28" s="182"/>
      <c r="BT28" s="182"/>
      <c r="BU28" s="182"/>
      <c r="BV28" s="68"/>
      <c r="BW28" s="68"/>
      <c r="BX28" s="182"/>
      <c r="BY28" s="182"/>
      <c r="BZ28" s="182"/>
      <c r="CA28" s="182"/>
      <c r="CB28" s="68"/>
      <c r="CC28" s="182"/>
      <c r="CD28" s="182"/>
      <c r="CE28" s="182"/>
      <c r="CF28" s="182"/>
      <c r="CG28" s="182"/>
      <c r="CH28" s="182"/>
      <c r="CI28" s="182"/>
      <c r="CJ28" s="182"/>
      <c r="CK28" s="182"/>
      <c r="CL28" s="182"/>
      <c r="CM28" s="182"/>
    </row>
    <row r="29" spans="1:106" ht="48" customHeight="1" x14ac:dyDescent="0.2">
      <c r="A29" s="13" t="s">
        <v>335</v>
      </c>
      <c r="B29" s="74">
        <f t="shared" si="0"/>
        <v>715015.5</v>
      </c>
      <c r="C29" s="182"/>
      <c r="D29" s="182"/>
      <c r="E29" s="182"/>
      <c r="F29" s="74">
        <f t="shared" si="2"/>
        <v>346513.5</v>
      </c>
      <c r="G29" s="74">
        <f t="shared" si="1"/>
        <v>368502</v>
      </c>
      <c r="H29" s="182"/>
      <c r="I29" s="18"/>
      <c r="J29" s="19">
        <v>13503</v>
      </c>
      <c r="K29" s="19">
        <v>33728</v>
      </c>
      <c r="L29" s="19">
        <v>23345</v>
      </c>
      <c r="M29" s="19">
        <v>32995</v>
      </c>
      <c r="N29" s="19">
        <v>24866</v>
      </c>
      <c r="O29" s="19">
        <v>22088</v>
      </c>
      <c r="P29" s="19">
        <v>25637</v>
      </c>
      <c r="Q29" s="19">
        <v>29991</v>
      </c>
      <c r="R29" s="182"/>
      <c r="S29" s="182"/>
      <c r="T29" s="182"/>
      <c r="U29" s="182"/>
      <c r="V29" s="182"/>
      <c r="W29" s="182"/>
      <c r="X29" s="182"/>
      <c r="Y29" s="182"/>
      <c r="Z29" s="182"/>
      <c r="AA29" s="68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182"/>
      <c r="AR29" s="182"/>
      <c r="AS29" s="182"/>
      <c r="AT29" s="182"/>
      <c r="AU29" s="182"/>
      <c r="AV29" s="182"/>
      <c r="AW29" s="182"/>
      <c r="AX29" s="182"/>
      <c r="AY29" s="182"/>
      <c r="AZ29" s="182"/>
      <c r="BA29" s="182"/>
      <c r="BB29" s="182"/>
      <c r="BC29" s="182"/>
      <c r="BD29" s="182"/>
      <c r="BE29" s="182"/>
      <c r="BF29" s="182"/>
      <c r="BG29" s="182"/>
      <c r="BH29" s="182"/>
      <c r="BI29" s="182"/>
      <c r="BJ29" s="182"/>
      <c r="BK29" s="182"/>
      <c r="BL29" s="182"/>
      <c r="BM29" s="182"/>
      <c r="BN29" s="182"/>
      <c r="BO29" s="182"/>
      <c r="BP29" s="182"/>
      <c r="BQ29" s="182"/>
      <c r="BR29" s="182"/>
      <c r="BS29" s="182"/>
      <c r="BT29" s="182"/>
      <c r="BU29" s="182"/>
      <c r="BV29" s="68"/>
      <c r="BW29" s="182"/>
      <c r="BX29" s="182"/>
      <c r="BY29" s="182"/>
      <c r="BZ29" s="182"/>
      <c r="CA29" s="182"/>
      <c r="CB29" s="182"/>
      <c r="CC29" s="182"/>
      <c r="CD29" s="182"/>
      <c r="CE29" s="182"/>
      <c r="CF29" s="182"/>
      <c r="CG29" s="182"/>
      <c r="CH29" s="182"/>
      <c r="CI29" s="182"/>
      <c r="CJ29" s="182"/>
      <c r="CK29" s="182"/>
      <c r="CL29" s="182"/>
      <c r="CM29" s="182"/>
    </row>
    <row r="30" spans="1:106" ht="44.5" customHeight="1" x14ac:dyDescent="0.2">
      <c r="A30" s="20" t="s">
        <v>336</v>
      </c>
      <c r="B30" s="74">
        <f t="shared" si="0"/>
        <v>49099</v>
      </c>
      <c r="C30" s="182"/>
      <c r="D30" s="182"/>
      <c r="E30" s="182"/>
      <c r="F30" s="74">
        <f t="shared" si="2"/>
        <v>24127</v>
      </c>
      <c r="G30" s="74">
        <f t="shared" si="1"/>
        <v>24972</v>
      </c>
      <c r="H30" s="182"/>
      <c r="I30" s="24"/>
      <c r="J30" s="24">
        <v>763</v>
      </c>
      <c r="K30" s="25">
        <v>2123</v>
      </c>
      <c r="L30" s="24">
        <v>890</v>
      </c>
      <c r="M30" s="25">
        <v>1766</v>
      </c>
      <c r="N30" s="25">
        <v>1845</v>
      </c>
      <c r="O30" s="25">
        <v>1687</v>
      </c>
      <c r="P30" s="25">
        <v>2168</v>
      </c>
      <c r="Q30" s="25">
        <v>2784</v>
      </c>
      <c r="R30" s="182"/>
      <c r="S30" s="182"/>
      <c r="T30" s="182"/>
      <c r="U30" s="182"/>
      <c r="V30" s="182"/>
      <c r="W30" s="182"/>
      <c r="X30" s="182"/>
      <c r="Y30" s="182"/>
      <c r="Z30" s="182"/>
      <c r="AA30" s="68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2"/>
      <c r="AU30" s="182"/>
      <c r="AV30" s="182"/>
      <c r="AW30" s="182"/>
      <c r="AX30" s="182"/>
      <c r="AY30" s="182"/>
      <c r="AZ30" s="182"/>
      <c r="BA30" s="182"/>
      <c r="BB30" s="182"/>
      <c r="BC30" s="182"/>
      <c r="BD30" s="182"/>
      <c r="BE30" s="182"/>
      <c r="BF30" s="182"/>
      <c r="BG30" s="182"/>
      <c r="BH30" s="182"/>
      <c r="BI30" s="182"/>
      <c r="BJ30" s="182"/>
      <c r="BK30" s="182"/>
      <c r="BL30" s="182"/>
      <c r="BM30" s="182"/>
      <c r="BN30" s="182"/>
      <c r="BO30" s="182"/>
      <c r="BP30" s="182"/>
      <c r="BQ30" s="182"/>
      <c r="BR30" s="182"/>
      <c r="BS30" s="182"/>
      <c r="BT30" s="182"/>
      <c r="BU30" s="182"/>
      <c r="BV30" s="68"/>
      <c r="BW30" s="68"/>
      <c r="BX30" s="182"/>
      <c r="BY30" s="182"/>
      <c r="BZ30" s="182"/>
      <c r="CA30" s="182"/>
      <c r="CB30" s="182"/>
      <c r="CC30" s="182"/>
      <c r="CD30" s="182"/>
      <c r="CE30" s="182"/>
      <c r="CF30" s="182"/>
      <c r="CG30" s="182"/>
      <c r="CH30" s="182"/>
      <c r="CI30" s="182"/>
      <c r="CJ30" s="182"/>
      <c r="CK30" s="182"/>
      <c r="CL30" s="182"/>
      <c r="CM30" s="182"/>
    </row>
    <row r="31" spans="1:106" ht="39.5" customHeight="1" x14ac:dyDescent="0.2">
      <c r="A31" s="13" t="s">
        <v>337</v>
      </c>
      <c r="B31" s="74">
        <f t="shared" si="0"/>
        <v>5554.5</v>
      </c>
      <c r="C31" s="182"/>
      <c r="D31" s="182"/>
      <c r="E31" s="182"/>
      <c r="F31" s="74">
        <f t="shared" si="2"/>
        <v>2740</v>
      </c>
      <c r="G31" s="74">
        <f t="shared" si="1"/>
        <v>2814.5</v>
      </c>
      <c r="H31" s="182"/>
      <c r="I31" s="18"/>
      <c r="J31" s="18">
        <v>67</v>
      </c>
      <c r="K31" s="18">
        <v>172</v>
      </c>
      <c r="L31" s="18">
        <v>96</v>
      </c>
      <c r="M31" s="18">
        <v>243</v>
      </c>
      <c r="N31" s="18">
        <v>206</v>
      </c>
      <c r="O31" s="18">
        <v>208</v>
      </c>
      <c r="P31" s="18">
        <v>186</v>
      </c>
      <c r="Q31" s="18">
        <v>457</v>
      </c>
      <c r="R31" s="182"/>
      <c r="S31" s="182"/>
      <c r="T31" s="182"/>
      <c r="U31" s="182"/>
      <c r="V31" s="182"/>
      <c r="W31" s="182"/>
      <c r="X31" s="182"/>
      <c r="Y31" s="182"/>
      <c r="Z31" s="182"/>
      <c r="AA31" s="68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182"/>
      <c r="AU31" s="182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82"/>
      <c r="BG31" s="182"/>
      <c r="BH31" s="182"/>
      <c r="BI31" s="182"/>
      <c r="BJ31" s="182"/>
      <c r="BK31" s="182"/>
      <c r="BL31" s="182"/>
      <c r="BM31" s="182"/>
      <c r="BN31" s="182"/>
      <c r="BO31" s="182"/>
      <c r="BP31" s="182"/>
      <c r="BQ31" s="182"/>
      <c r="BR31" s="182"/>
      <c r="BS31" s="182"/>
      <c r="BT31" s="182"/>
      <c r="BU31" s="182"/>
      <c r="BV31" s="68"/>
      <c r="BW31" s="68"/>
      <c r="BX31" s="182"/>
      <c r="BY31" s="182"/>
      <c r="BZ31" s="182"/>
      <c r="CA31" s="182"/>
      <c r="CB31" s="182"/>
      <c r="CC31" s="182"/>
      <c r="CD31" s="182"/>
      <c r="CE31" s="182"/>
      <c r="CF31" s="182"/>
      <c r="CG31" s="182"/>
      <c r="CH31" s="182"/>
      <c r="CI31" s="182"/>
      <c r="CJ31" s="182"/>
      <c r="CK31" s="182"/>
      <c r="CL31" s="182"/>
      <c r="CM31" s="182"/>
    </row>
    <row r="32" spans="1:106" ht="38.5" customHeight="1" x14ac:dyDescent="0.2">
      <c r="A32" s="20" t="s">
        <v>287</v>
      </c>
      <c r="B32" s="74">
        <f t="shared" si="0"/>
        <v>18217.5</v>
      </c>
      <c r="C32" s="182"/>
      <c r="D32" s="182"/>
      <c r="E32" s="182"/>
      <c r="F32" s="74">
        <f t="shared" si="2"/>
        <v>8597</v>
      </c>
      <c r="G32" s="74">
        <f t="shared" si="1"/>
        <v>9620.5</v>
      </c>
      <c r="H32" s="182"/>
      <c r="I32" s="24"/>
      <c r="J32" s="24">
        <v>277</v>
      </c>
      <c r="K32" s="24">
        <v>780</v>
      </c>
      <c r="L32" s="24">
        <v>448</v>
      </c>
      <c r="M32" s="24">
        <v>502</v>
      </c>
      <c r="N32" s="24">
        <v>579</v>
      </c>
      <c r="O32" s="24">
        <v>619</v>
      </c>
      <c r="P32" s="24">
        <v>814</v>
      </c>
      <c r="Q32" s="25">
        <v>1178</v>
      </c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182"/>
      <c r="AR32" s="182"/>
      <c r="AS32" s="182"/>
      <c r="AT32" s="182"/>
      <c r="AU32" s="182"/>
      <c r="AV32" s="182"/>
      <c r="AW32" s="182"/>
      <c r="AX32" s="182"/>
      <c r="AY32" s="182"/>
      <c r="AZ32" s="182"/>
      <c r="BA32" s="182"/>
      <c r="BB32" s="182"/>
      <c r="BC32" s="182"/>
      <c r="BD32" s="182"/>
      <c r="BE32" s="182"/>
      <c r="BF32" s="182"/>
      <c r="BG32" s="182"/>
      <c r="BH32" s="182"/>
      <c r="BI32" s="182"/>
      <c r="BJ32" s="182"/>
      <c r="BK32" s="182"/>
      <c r="BL32" s="182"/>
      <c r="BM32" s="182"/>
      <c r="BN32" s="182"/>
      <c r="BO32" s="182"/>
      <c r="BP32" s="182"/>
      <c r="BQ32" s="182"/>
      <c r="BR32" s="182"/>
      <c r="BS32" s="182"/>
      <c r="BT32" s="182"/>
      <c r="BU32" s="182"/>
      <c r="BV32" s="68"/>
      <c r="BW32" s="68"/>
      <c r="BX32" s="182"/>
      <c r="BY32" s="182"/>
      <c r="BZ32" s="182"/>
      <c r="CA32" s="182"/>
      <c r="CB32" s="182"/>
      <c r="CC32" s="182"/>
      <c r="CD32" s="182"/>
      <c r="CE32" s="182"/>
      <c r="CF32" s="182"/>
      <c r="CG32" s="182"/>
      <c r="CH32" s="182"/>
      <c r="CI32" s="182"/>
      <c r="CJ32" s="182"/>
      <c r="CK32" s="182"/>
      <c r="CL32" s="182"/>
      <c r="CM32" s="182"/>
    </row>
    <row r="33" spans="1:89" ht="78" customHeight="1" x14ac:dyDescent="0.2">
      <c r="A33" s="13" t="s">
        <v>157</v>
      </c>
      <c r="B33" s="74">
        <f t="shared" si="0"/>
        <v>33793.5</v>
      </c>
      <c r="C33" s="182"/>
      <c r="D33" s="182"/>
      <c r="E33" s="182"/>
      <c r="F33" s="74">
        <f t="shared" si="2"/>
        <v>16418</v>
      </c>
      <c r="G33" s="74">
        <f t="shared" si="1"/>
        <v>17375.5</v>
      </c>
      <c r="H33" s="182"/>
      <c r="I33" s="18"/>
      <c r="J33" s="18">
        <v>521</v>
      </c>
      <c r="K33" s="19">
        <v>1462</v>
      </c>
      <c r="L33" s="18">
        <v>612</v>
      </c>
      <c r="M33" s="19">
        <v>1153</v>
      </c>
      <c r="N33" s="19">
        <v>1001</v>
      </c>
      <c r="O33" s="19">
        <v>1145</v>
      </c>
      <c r="P33" s="19">
        <v>1470</v>
      </c>
      <c r="Q33" s="19">
        <v>2246</v>
      </c>
      <c r="R33" s="182"/>
      <c r="S33" s="182"/>
      <c r="T33" s="182"/>
      <c r="U33" s="68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182"/>
      <c r="AR33" s="182"/>
      <c r="AS33" s="182"/>
      <c r="AT33" s="182"/>
      <c r="AU33" s="182"/>
      <c r="AV33" s="182"/>
      <c r="AW33" s="182"/>
      <c r="AX33" s="182"/>
      <c r="AY33" s="182"/>
      <c r="AZ33" s="182"/>
      <c r="BA33" s="182"/>
      <c r="BB33" s="182"/>
      <c r="BC33" s="182"/>
      <c r="BD33" s="182"/>
      <c r="BE33" s="182"/>
      <c r="BF33" s="182"/>
      <c r="BG33" s="182"/>
      <c r="BH33" s="182"/>
      <c r="BI33" s="182"/>
      <c r="BJ33" s="182"/>
      <c r="BK33" s="182"/>
      <c r="BL33" s="182"/>
      <c r="BM33" s="68"/>
      <c r="BN33" s="68"/>
      <c r="BO33" s="182"/>
      <c r="BP33" s="182"/>
      <c r="BQ33" s="182"/>
      <c r="BR33" s="182"/>
      <c r="BS33" s="182"/>
      <c r="BT33" s="182"/>
      <c r="BU33" s="182"/>
      <c r="BV33" s="182"/>
      <c r="BW33" s="182"/>
      <c r="BX33" s="182"/>
      <c r="BY33" s="182"/>
      <c r="BZ33" s="182"/>
      <c r="CA33" s="182"/>
      <c r="CB33" s="182"/>
      <c r="CC33" s="182"/>
      <c r="CD33" s="182"/>
    </row>
    <row r="34" spans="1:89" ht="37" customHeight="1" x14ac:dyDescent="0.2">
      <c r="A34" s="107" t="s">
        <v>338</v>
      </c>
      <c r="B34" s="74">
        <f t="shared" si="0"/>
        <v>37655454.5</v>
      </c>
      <c r="C34" s="68"/>
      <c r="D34" s="182"/>
      <c r="E34" s="182"/>
      <c r="F34" s="74">
        <f t="shared" si="2"/>
        <v>18348645</v>
      </c>
      <c r="G34" s="74">
        <f t="shared" si="1"/>
        <v>19306809.5</v>
      </c>
      <c r="H34" s="68"/>
      <c r="I34" s="24"/>
      <c r="J34" s="25">
        <v>635299</v>
      </c>
      <c r="K34" s="25">
        <v>1877246</v>
      </c>
      <c r="L34" s="25">
        <v>1051160</v>
      </c>
      <c r="M34" s="25">
        <v>1475136</v>
      </c>
      <c r="N34" s="25">
        <v>1420198</v>
      </c>
      <c r="O34" s="25">
        <v>1401400</v>
      </c>
      <c r="P34" s="25">
        <v>1321441</v>
      </c>
      <c r="Q34" s="25">
        <v>1540445</v>
      </c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182"/>
      <c r="AR34" s="4"/>
      <c r="AS34" s="182"/>
      <c r="AT34" s="73"/>
      <c r="AU34" s="73"/>
      <c r="AV34" s="73"/>
      <c r="AW34" s="182"/>
      <c r="AX34" s="182"/>
      <c r="AY34" s="182"/>
      <c r="AZ34" s="68"/>
      <c r="BA34" s="182"/>
      <c r="BB34" s="182"/>
      <c r="BC34" s="182"/>
      <c r="BD34" s="182"/>
      <c r="BE34" s="182"/>
      <c r="BF34" s="182"/>
      <c r="BG34" s="182"/>
      <c r="BH34" s="182"/>
      <c r="BI34" s="182"/>
      <c r="BJ34" s="182"/>
      <c r="BK34" s="182"/>
      <c r="BL34" s="182"/>
      <c r="BM34" s="68"/>
      <c r="BN34" s="68"/>
      <c r="BO34" s="68"/>
      <c r="BP34" s="182"/>
      <c r="BQ34" s="182"/>
      <c r="BR34" s="68"/>
      <c r="BS34" s="68"/>
      <c r="BT34" s="182"/>
      <c r="BU34" s="182"/>
      <c r="BV34" s="182"/>
      <c r="BW34" s="182"/>
      <c r="BX34" s="182"/>
      <c r="BY34" s="182"/>
      <c r="BZ34" s="182"/>
      <c r="CA34" s="182"/>
      <c r="CB34" s="182"/>
      <c r="CC34" s="182"/>
      <c r="CD34" s="182"/>
    </row>
    <row r="35" spans="1:89" ht="38" customHeight="1" x14ac:dyDescent="0.2">
      <c r="A35" s="13" t="s">
        <v>339</v>
      </c>
      <c r="B35" s="68"/>
      <c r="C35" s="68"/>
      <c r="D35" s="182"/>
      <c r="E35" s="182"/>
      <c r="F35" s="68"/>
      <c r="G35" s="68"/>
      <c r="H35" s="68"/>
      <c r="I35" s="18"/>
      <c r="J35" s="19">
        <v>19004925</v>
      </c>
      <c r="K35" s="19">
        <v>54208780</v>
      </c>
      <c r="L35" s="19">
        <v>31282896</v>
      </c>
      <c r="M35" s="19">
        <v>45388153</v>
      </c>
      <c r="N35" s="19">
        <v>42810359</v>
      </c>
      <c r="O35" s="19">
        <v>41087357</v>
      </c>
      <c r="P35" s="19">
        <v>42577475</v>
      </c>
      <c r="Q35" s="19">
        <v>54737648</v>
      </c>
      <c r="R35" s="68"/>
      <c r="S35" s="68"/>
      <c r="T35" s="68"/>
      <c r="U35" s="182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68"/>
      <c r="AI35" s="182"/>
      <c r="AJ35" s="182"/>
      <c r="AK35" s="182"/>
      <c r="AL35" s="182"/>
      <c r="AM35" s="182"/>
      <c r="AN35" s="182"/>
      <c r="AO35" s="182"/>
      <c r="AP35" s="182"/>
      <c r="AQ35" s="182"/>
      <c r="AR35" s="4"/>
      <c r="AS35" s="182"/>
      <c r="AT35" s="73"/>
      <c r="AU35" s="73"/>
      <c r="AV35" s="73"/>
      <c r="AW35" s="182"/>
      <c r="AX35" s="4"/>
      <c r="AY35" s="182"/>
      <c r="AZ35" s="68"/>
      <c r="BA35" s="182"/>
      <c r="BB35" s="182"/>
      <c r="BC35" s="182"/>
      <c r="BD35" s="182"/>
      <c r="BE35" s="182"/>
      <c r="BF35" s="182"/>
      <c r="BG35" s="182"/>
      <c r="BH35" s="182"/>
      <c r="BI35" s="182"/>
      <c r="BJ35" s="182"/>
      <c r="BK35" s="182"/>
      <c r="BL35" s="182"/>
      <c r="BM35" s="68"/>
      <c r="BN35" s="68"/>
      <c r="BO35" s="182"/>
      <c r="BP35" s="182"/>
      <c r="BQ35" s="182"/>
      <c r="BR35" s="182"/>
      <c r="BS35" s="182"/>
      <c r="BT35" s="182"/>
      <c r="BU35" s="182"/>
      <c r="BV35" s="182"/>
      <c r="BW35" s="182"/>
      <c r="BX35" s="182"/>
      <c r="BY35" s="182"/>
      <c r="BZ35" s="182"/>
      <c r="CA35" s="182"/>
      <c r="CB35" s="182"/>
      <c r="CC35" s="182"/>
      <c r="CD35" s="182"/>
    </row>
    <row r="36" spans="1:89" x14ac:dyDescent="0.2">
      <c r="A36" s="182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182"/>
      <c r="AR36" s="182"/>
      <c r="AS36" s="182"/>
      <c r="AT36" s="310"/>
      <c r="AU36" s="310"/>
      <c r="AV36" s="310"/>
      <c r="AW36" s="182"/>
      <c r="AX36" s="182"/>
      <c r="AY36" s="182"/>
      <c r="AZ36" s="68"/>
      <c r="BA36" s="182"/>
      <c r="BB36" s="182"/>
      <c r="BC36" s="182"/>
      <c r="BD36" s="182"/>
      <c r="BE36" s="182"/>
      <c r="BF36" s="182"/>
      <c r="BG36" s="182"/>
      <c r="BH36" s="182"/>
      <c r="BI36" s="182"/>
      <c r="BJ36" s="182"/>
      <c r="BK36" s="182"/>
      <c r="BL36" s="182"/>
      <c r="BM36" s="182"/>
      <c r="BN36" s="182"/>
      <c r="BO36" s="182"/>
      <c r="BP36" s="182"/>
      <c r="BQ36" s="182"/>
      <c r="BR36" s="182"/>
      <c r="BS36" s="182"/>
      <c r="BT36" s="182"/>
      <c r="BU36" s="182"/>
      <c r="BV36" s="182"/>
      <c r="BW36" s="182"/>
      <c r="BX36" s="182"/>
      <c r="BY36" s="182"/>
      <c r="BZ36" s="182"/>
      <c r="CA36" s="182"/>
      <c r="CB36" s="182"/>
      <c r="CC36" s="182"/>
      <c r="CD36" s="182"/>
    </row>
    <row r="37" spans="1:89" x14ac:dyDescent="0.2">
      <c r="A37" s="182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182"/>
      <c r="AR37" s="182"/>
      <c r="AS37" s="182"/>
      <c r="AT37" s="182"/>
      <c r="AU37" s="182"/>
      <c r="AV37" s="182"/>
      <c r="AW37" s="182"/>
      <c r="AX37" s="182"/>
      <c r="AY37" s="182"/>
      <c r="AZ37" s="68"/>
      <c r="BA37" s="182"/>
      <c r="BB37" s="182"/>
      <c r="BC37" s="182"/>
      <c r="BD37" s="182"/>
      <c r="BE37" s="182"/>
      <c r="BF37" s="182"/>
      <c r="BG37" s="182"/>
      <c r="BH37" s="182"/>
      <c r="BI37" s="182"/>
      <c r="BJ37" s="182"/>
      <c r="BK37" s="182"/>
      <c r="BL37" s="182"/>
      <c r="BM37" s="68"/>
      <c r="BN37" s="68"/>
      <c r="BO37" s="182"/>
      <c r="BP37" s="182"/>
      <c r="BQ37" s="182"/>
      <c r="BR37" s="182"/>
      <c r="BS37" s="182"/>
      <c r="BT37" s="182"/>
      <c r="BU37" s="182"/>
      <c r="BV37" s="182"/>
      <c r="BW37" s="182"/>
      <c r="BX37" s="182"/>
      <c r="BY37" s="182"/>
      <c r="BZ37" s="182"/>
      <c r="CA37" s="182"/>
      <c r="CB37" s="182"/>
      <c r="CC37" s="182"/>
      <c r="CD37" s="182"/>
    </row>
    <row r="38" spans="1:89" ht="14.5" customHeight="1" x14ac:dyDescent="0.2">
      <c r="A38" s="182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182"/>
      <c r="AU38" s="182"/>
      <c r="AV38" s="182"/>
      <c r="AW38" s="182"/>
      <c r="AX38" s="182"/>
      <c r="AY38" s="182"/>
      <c r="AZ38" s="68"/>
      <c r="BA38" s="182"/>
      <c r="BB38" s="182"/>
      <c r="BC38" s="182"/>
      <c r="BD38" s="182"/>
      <c r="BE38" s="182"/>
      <c r="BF38" s="182"/>
      <c r="BG38" s="182"/>
      <c r="BH38" s="182"/>
      <c r="BI38" s="182"/>
      <c r="BJ38" s="182"/>
      <c r="BK38" s="182"/>
      <c r="BL38" s="182"/>
      <c r="BM38" s="68"/>
      <c r="BN38" s="68"/>
      <c r="BO38" s="182"/>
      <c r="BP38" s="182"/>
      <c r="BQ38" s="182"/>
      <c r="BR38" s="182"/>
      <c r="BS38" s="182"/>
      <c r="BT38" s="182"/>
      <c r="BU38" s="182"/>
      <c r="BV38" s="182"/>
      <c r="BW38" s="182"/>
      <c r="BX38" s="182"/>
      <c r="BY38" s="182"/>
      <c r="BZ38" s="182"/>
      <c r="CA38" s="182"/>
      <c r="CB38" s="182"/>
      <c r="CC38" s="182"/>
      <c r="CD38" s="182"/>
    </row>
    <row r="39" spans="1:89" x14ac:dyDescent="0.2">
      <c r="A39" s="182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182"/>
      <c r="AR39" s="182"/>
      <c r="AS39" s="182"/>
      <c r="AT39" s="182"/>
      <c r="AU39" s="182"/>
      <c r="AV39" s="182"/>
      <c r="AW39" s="182"/>
      <c r="AX39" s="182"/>
      <c r="AY39" s="182"/>
      <c r="AZ39" s="182"/>
      <c r="BA39" s="182"/>
      <c r="BB39" s="182"/>
      <c r="BC39" s="182"/>
      <c r="BD39" s="182"/>
      <c r="BE39" s="182"/>
      <c r="BF39" s="182"/>
      <c r="BG39" s="182"/>
      <c r="BH39" s="182"/>
      <c r="BI39" s="182"/>
      <c r="BJ39" s="182"/>
      <c r="BK39" s="182"/>
      <c r="BL39" s="182"/>
      <c r="BM39" s="68"/>
      <c r="BN39" s="68"/>
      <c r="BO39" s="68"/>
      <c r="BP39" s="68"/>
      <c r="BQ39" s="68"/>
      <c r="BR39" s="68"/>
      <c r="BS39" s="68"/>
      <c r="BT39" s="182"/>
      <c r="BU39" s="182"/>
      <c r="BV39" s="182"/>
      <c r="BW39" s="182"/>
      <c r="BX39" s="182"/>
      <c r="BY39" s="182"/>
      <c r="BZ39" s="182"/>
      <c r="CA39" s="182"/>
      <c r="CB39" s="182"/>
      <c r="CC39" s="182"/>
      <c r="CD39" s="182"/>
    </row>
    <row r="40" spans="1:89" x14ac:dyDescent="0.2">
      <c r="A40" s="182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2"/>
      <c r="AU40" s="182"/>
      <c r="AV40" s="182"/>
      <c r="AW40" s="182"/>
      <c r="AX40" s="182"/>
      <c r="AY40" s="182"/>
      <c r="AZ40" s="68"/>
      <c r="BA40" s="182"/>
      <c r="BB40" s="182"/>
      <c r="BC40" s="182"/>
      <c r="BD40" s="182"/>
      <c r="BE40" s="182"/>
      <c r="BF40" s="182"/>
      <c r="BG40" s="182"/>
      <c r="BH40" s="182"/>
      <c r="BI40" s="182"/>
      <c r="BJ40" s="182"/>
      <c r="BK40" s="182"/>
      <c r="BL40" s="182"/>
      <c r="BM40" s="68"/>
      <c r="BN40" s="68"/>
      <c r="BO40" s="68"/>
      <c r="BP40" s="68"/>
      <c r="BQ40" s="68"/>
      <c r="BR40" s="68"/>
      <c r="BS40" s="68"/>
      <c r="BT40" s="182"/>
      <c r="BU40" s="182"/>
      <c r="BV40" s="182"/>
      <c r="BW40" s="182"/>
      <c r="BX40" s="182"/>
      <c r="BY40" s="182"/>
      <c r="BZ40" s="182"/>
      <c r="CA40" s="182"/>
      <c r="CB40" s="182"/>
      <c r="CC40" s="182"/>
      <c r="CD40" s="182"/>
    </row>
    <row r="41" spans="1:89" ht="16" x14ac:dyDescent="0.2">
      <c r="A41" s="182"/>
      <c r="B41" s="182" t="s">
        <v>344</v>
      </c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182"/>
      <c r="AR41" s="182"/>
      <c r="AS41" s="182"/>
      <c r="AT41" s="182"/>
      <c r="AU41" s="182"/>
      <c r="AV41" s="182"/>
      <c r="AW41" s="182"/>
      <c r="AX41" s="182"/>
      <c r="AY41" s="182"/>
      <c r="AZ41" s="68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2"/>
      <c r="BQ41" s="182"/>
      <c r="BR41" s="182"/>
      <c r="BS41" s="182"/>
      <c r="BT41" s="182"/>
      <c r="BU41" s="182"/>
      <c r="BV41" s="182"/>
      <c r="BW41" s="182"/>
      <c r="BX41" s="182"/>
      <c r="BY41" s="182"/>
      <c r="BZ41" s="182"/>
      <c r="CA41" s="182"/>
      <c r="CB41" s="182"/>
      <c r="CC41" s="182"/>
      <c r="CD41" s="182"/>
    </row>
    <row r="42" spans="1:89" x14ac:dyDescent="0.2">
      <c r="A42" s="182"/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182"/>
      <c r="AR42" s="182"/>
      <c r="AS42" s="182"/>
      <c r="AT42" s="182"/>
      <c r="AU42" s="182"/>
      <c r="AV42" s="182"/>
      <c r="AW42" s="182"/>
      <c r="AX42" s="182"/>
      <c r="AY42" s="182"/>
      <c r="AZ42" s="68"/>
      <c r="BA42" s="68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2"/>
      <c r="BQ42" s="182"/>
      <c r="BR42" s="182"/>
      <c r="BS42" s="182"/>
      <c r="BT42" s="182"/>
      <c r="BU42" s="182"/>
      <c r="BV42" s="182"/>
      <c r="BW42" s="182"/>
      <c r="BX42" s="182"/>
      <c r="BY42" s="182"/>
      <c r="BZ42" s="182"/>
      <c r="CA42" s="182"/>
      <c r="CB42" s="182"/>
      <c r="CC42" s="182"/>
      <c r="CD42" s="182"/>
    </row>
    <row r="43" spans="1:89" x14ac:dyDescent="0.2">
      <c r="A43" s="182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182"/>
      <c r="AQ43" s="182"/>
      <c r="AR43" s="182"/>
      <c r="AS43" s="182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68"/>
      <c r="BK43" s="68"/>
      <c r="BL43" s="182"/>
      <c r="BM43" s="182"/>
      <c r="BN43" s="182"/>
      <c r="BO43" s="182"/>
      <c r="BP43" s="182"/>
      <c r="BQ43" s="182"/>
      <c r="BR43" s="182"/>
      <c r="BS43" s="182"/>
      <c r="BT43" s="182"/>
      <c r="BU43" s="182"/>
      <c r="BV43" s="182"/>
      <c r="BW43" s="182"/>
      <c r="BX43" s="182"/>
      <c r="BY43" s="182"/>
      <c r="BZ43" s="182"/>
      <c r="CA43" s="182"/>
      <c r="CB43" s="182"/>
      <c r="CC43" s="182"/>
      <c r="CD43" s="182"/>
    </row>
    <row r="44" spans="1:89" x14ac:dyDescent="0.2">
      <c r="A44" s="182"/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182"/>
      <c r="AR44" s="182"/>
      <c r="AS44" s="182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2"/>
      <c r="BQ44" s="182"/>
      <c r="BR44" s="182"/>
      <c r="BS44" s="182"/>
      <c r="BT44" s="182"/>
      <c r="BU44" s="182"/>
      <c r="BV44" s="182"/>
      <c r="BW44" s="182"/>
      <c r="BX44" s="182"/>
      <c r="BY44" s="182"/>
      <c r="BZ44" s="182"/>
      <c r="CA44" s="182"/>
      <c r="CB44" s="182"/>
      <c r="CC44" s="182"/>
      <c r="CD44" s="182"/>
    </row>
    <row r="45" spans="1:89" x14ac:dyDescent="0.2">
      <c r="A45" s="182"/>
      <c r="B45" s="182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2"/>
      <c r="BQ45" s="182"/>
      <c r="BR45" s="182"/>
      <c r="BS45" s="182"/>
      <c r="BT45" s="182"/>
      <c r="BU45" s="182"/>
      <c r="BV45" s="182"/>
      <c r="BW45" s="182"/>
      <c r="BX45" s="182"/>
      <c r="BY45" s="182"/>
      <c r="BZ45" s="182"/>
      <c r="CA45" s="182"/>
      <c r="CB45" s="182"/>
      <c r="CC45" s="182"/>
      <c r="CD45" s="182"/>
    </row>
    <row r="46" spans="1:89" x14ac:dyDescent="0.2">
      <c r="A46" s="182"/>
      <c r="B46" s="182"/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182"/>
      <c r="AR46" s="182"/>
      <c r="AS46" s="182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2"/>
      <c r="BQ46" s="182"/>
      <c r="BR46" s="182"/>
      <c r="BS46" s="182"/>
      <c r="BT46" s="182"/>
      <c r="BU46" s="182"/>
      <c r="BV46" s="182"/>
      <c r="BW46" s="182"/>
      <c r="BX46" s="182"/>
      <c r="BY46" s="182"/>
      <c r="BZ46" s="182"/>
      <c r="CA46" s="182"/>
      <c r="CB46" s="182"/>
      <c r="CC46" s="182"/>
      <c r="CD46" s="182"/>
    </row>
    <row r="47" spans="1:89" ht="89.25" customHeight="1" x14ac:dyDescent="0.2">
      <c r="A47" s="75" t="s">
        <v>345</v>
      </c>
      <c r="B47" s="75" t="s">
        <v>346</v>
      </c>
      <c r="C47" s="75" t="s">
        <v>347</v>
      </c>
      <c r="D47" s="75" t="s">
        <v>348</v>
      </c>
      <c r="E47" s="75" t="s">
        <v>349</v>
      </c>
      <c r="F47" s="75" t="s">
        <v>350</v>
      </c>
      <c r="G47" s="182"/>
      <c r="H47" s="182"/>
      <c r="I47" s="182"/>
      <c r="J47" s="182"/>
      <c r="K47" s="4"/>
      <c r="L47" s="4"/>
      <c r="M47" s="4"/>
      <c r="N47" s="4"/>
      <c r="O47" s="4"/>
      <c r="P47" s="4"/>
      <c r="Q47" s="4"/>
      <c r="R47" s="4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2"/>
      <c r="BQ47" s="182"/>
      <c r="BR47" s="182"/>
      <c r="BS47" s="182"/>
      <c r="BT47" s="182"/>
      <c r="BU47" s="182"/>
      <c r="BV47" s="182"/>
      <c r="BW47" s="182"/>
      <c r="BX47" s="182"/>
      <c r="BY47" s="182"/>
      <c r="BZ47" s="182"/>
    </row>
    <row r="48" spans="1:89" ht="16" x14ac:dyDescent="0.2">
      <c r="A48" s="4" t="s">
        <v>351</v>
      </c>
      <c r="B48" s="182" t="s">
        <v>352</v>
      </c>
      <c r="C48" s="106">
        <v>0.41799999999999998</v>
      </c>
      <c r="D48" s="106">
        <v>0.19700000000000001</v>
      </c>
      <c r="E48" s="106">
        <v>0.20200000000000001</v>
      </c>
      <c r="F48" s="182" t="s">
        <v>353</v>
      </c>
      <c r="G48" s="182"/>
      <c r="H48" s="182"/>
      <c r="I48" s="182"/>
      <c r="J48" s="182"/>
      <c r="K48" s="182"/>
      <c r="L48" s="68"/>
      <c r="M48" s="68"/>
      <c r="N48" s="68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182"/>
      <c r="AR48" s="182"/>
      <c r="AS48" s="182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2"/>
      <c r="BQ48" s="182"/>
      <c r="BR48" s="182"/>
      <c r="BS48" s="182"/>
      <c r="BT48" s="182"/>
      <c r="BU48" s="182"/>
      <c r="BV48" s="182"/>
      <c r="BW48" s="182"/>
      <c r="BX48" s="182"/>
      <c r="BY48" s="182"/>
      <c r="BZ48" s="182"/>
      <c r="CE48" s="4"/>
      <c r="CF48" s="4"/>
      <c r="CG48" s="4"/>
      <c r="CH48" s="4"/>
      <c r="CI48" s="4"/>
      <c r="CJ48" s="4"/>
      <c r="CK48" s="4"/>
    </row>
    <row r="49" spans="1:91" ht="16" x14ac:dyDescent="0.2">
      <c r="A49" s="4" t="s">
        <v>354</v>
      </c>
      <c r="B49" s="182" t="s">
        <v>355</v>
      </c>
      <c r="C49" s="106">
        <v>0.36</v>
      </c>
      <c r="D49" s="106">
        <v>0.155</v>
      </c>
      <c r="E49" s="106">
        <v>0.17399999999999999</v>
      </c>
      <c r="F49" s="182" t="s">
        <v>356</v>
      </c>
      <c r="G49" s="182"/>
      <c r="H49" s="182"/>
      <c r="I49" s="182"/>
      <c r="J49" s="182"/>
      <c r="K49" s="182"/>
      <c r="L49" s="68"/>
      <c r="M49" s="68"/>
      <c r="N49" s="68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  <c r="AQ49" s="182"/>
      <c r="AR49" s="182"/>
      <c r="AS49" s="182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2"/>
      <c r="BQ49" s="182"/>
      <c r="BR49" s="182"/>
      <c r="BS49" s="182"/>
      <c r="BT49" s="182"/>
      <c r="BU49" s="182"/>
      <c r="BV49" s="182"/>
      <c r="BW49" s="182"/>
      <c r="BX49" s="182"/>
      <c r="BY49" s="182"/>
      <c r="BZ49" s="182"/>
      <c r="CA49" s="182"/>
      <c r="CB49" s="182"/>
      <c r="CC49" s="182"/>
      <c r="CD49" s="182"/>
      <c r="CE49" s="182"/>
      <c r="CF49" s="182"/>
      <c r="CG49" s="182"/>
      <c r="CH49" s="182"/>
      <c r="CI49" s="182"/>
    </row>
    <row r="50" spans="1:91" x14ac:dyDescent="0.2">
      <c r="A50" s="182"/>
      <c r="B50" s="182"/>
      <c r="C50" s="182"/>
      <c r="D50" s="310" t="s">
        <v>357</v>
      </c>
      <c r="E50" s="310"/>
      <c r="F50" s="310"/>
      <c r="G50" s="310"/>
      <c r="H50" s="310"/>
      <c r="I50" s="182"/>
      <c r="J50" s="182"/>
      <c r="K50" s="182"/>
      <c r="L50" s="182"/>
      <c r="M50" s="182"/>
      <c r="N50" s="182"/>
      <c r="O50" s="182"/>
      <c r="P50" s="68"/>
      <c r="Q50" s="68"/>
      <c r="R50" s="68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182"/>
      <c r="AR50" s="182"/>
      <c r="AS50" s="182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2"/>
      <c r="BQ50" s="182"/>
      <c r="BR50" s="182"/>
      <c r="BS50" s="182"/>
      <c r="BT50" s="182"/>
      <c r="BU50" s="182"/>
      <c r="BV50" s="182"/>
      <c r="BW50" s="182"/>
      <c r="BX50" s="182"/>
      <c r="BY50" s="182"/>
      <c r="BZ50" s="182"/>
      <c r="CA50" s="182"/>
      <c r="CB50" s="182"/>
      <c r="CC50" s="182"/>
      <c r="CD50" s="182"/>
      <c r="CE50" s="182"/>
      <c r="CF50" s="182"/>
      <c r="CG50" s="182"/>
      <c r="CH50" s="182"/>
      <c r="CI50" s="182"/>
      <c r="CJ50" s="182"/>
      <c r="CK50" s="182"/>
      <c r="CL50" s="182"/>
      <c r="CM50" s="182"/>
    </row>
    <row r="51" spans="1:91" x14ac:dyDescent="0.2">
      <c r="B51" s="3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182"/>
      <c r="AR51" s="182"/>
      <c r="AS51" s="182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2"/>
      <c r="BQ51" s="182"/>
      <c r="BR51" s="182"/>
      <c r="BS51" s="182"/>
      <c r="BT51" s="182"/>
      <c r="BU51" s="182"/>
      <c r="BV51" s="182"/>
      <c r="BW51" s="182"/>
      <c r="BX51" s="182"/>
      <c r="BY51" s="182"/>
      <c r="BZ51" s="182"/>
      <c r="CA51" s="182"/>
      <c r="CB51" s="182"/>
      <c r="CC51" s="182"/>
      <c r="CD51" s="182"/>
      <c r="CE51" s="182"/>
      <c r="CF51" s="182"/>
      <c r="CG51" s="182"/>
      <c r="CH51" s="182"/>
      <c r="CI51" s="182"/>
      <c r="CJ51" s="182"/>
      <c r="CK51" s="182"/>
      <c r="CL51" s="182"/>
      <c r="CM51" s="182"/>
    </row>
    <row r="52" spans="1:91" x14ac:dyDescent="0.2">
      <c r="B52" s="3"/>
      <c r="C52" s="3"/>
      <c r="D52" s="3"/>
      <c r="E52" s="3"/>
      <c r="F52" s="3"/>
      <c r="G52" s="3"/>
      <c r="H52" s="3"/>
      <c r="I52" s="3"/>
      <c r="J52" s="3"/>
      <c r="K52" s="3"/>
      <c r="L52" s="182"/>
      <c r="M52" s="182"/>
      <c r="N52" s="182"/>
      <c r="O52" s="182"/>
      <c r="P52" s="68"/>
      <c r="Q52" s="68"/>
      <c r="R52" s="68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2"/>
      <c r="BQ52" s="182"/>
      <c r="BR52" s="182"/>
      <c r="BS52" s="182"/>
      <c r="BT52" s="182"/>
      <c r="BU52" s="4"/>
      <c r="BV52" s="182"/>
      <c r="BW52" s="182"/>
      <c r="BX52" s="182"/>
      <c r="BY52" s="182"/>
      <c r="BZ52" s="182"/>
      <c r="CA52" s="182"/>
      <c r="CB52" s="182"/>
      <c r="CC52" s="182"/>
      <c r="CD52" s="182"/>
      <c r="CE52" s="182"/>
      <c r="CF52" s="182"/>
      <c r="CG52" s="182"/>
      <c r="CH52" s="182"/>
      <c r="CI52" s="182"/>
      <c r="CJ52" s="182"/>
      <c r="CK52" s="182"/>
      <c r="CL52" s="182"/>
      <c r="CM52" s="182"/>
    </row>
    <row r="53" spans="1:91" x14ac:dyDescent="0.2">
      <c r="B53" s="3"/>
      <c r="C53" s="5"/>
      <c r="D53" s="5"/>
      <c r="E53" s="5"/>
      <c r="F53" s="5"/>
      <c r="G53" s="5"/>
      <c r="H53" s="5"/>
      <c r="I53" s="5"/>
      <c r="J53" s="5"/>
      <c r="K53" s="5"/>
      <c r="L53" s="182"/>
      <c r="M53" s="182"/>
      <c r="N53" s="182"/>
      <c r="O53" s="182"/>
      <c r="P53" s="68"/>
      <c r="Q53" s="68"/>
      <c r="R53" s="68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182"/>
      <c r="AR53" s="182"/>
      <c r="AS53" s="182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2"/>
      <c r="BQ53" s="182"/>
      <c r="BR53" s="182"/>
      <c r="BS53" s="182"/>
      <c r="BT53" s="182"/>
      <c r="BU53" s="182"/>
      <c r="BV53" s="182"/>
      <c r="BW53" s="182"/>
      <c r="BX53" s="182"/>
      <c r="BY53" s="182"/>
      <c r="BZ53" s="182"/>
      <c r="CA53" s="182"/>
      <c r="CB53" s="182"/>
      <c r="CC53" s="182"/>
      <c r="CD53" s="182"/>
      <c r="CE53" s="182"/>
      <c r="CF53" s="182"/>
      <c r="CG53" s="182"/>
      <c r="CH53" s="182"/>
      <c r="CI53" s="182"/>
      <c r="CJ53" s="182"/>
      <c r="CK53" s="182"/>
      <c r="CL53" s="182"/>
      <c r="CM53" s="182"/>
    </row>
    <row r="54" spans="1:91" ht="16" x14ac:dyDescent="0.2">
      <c r="A54" s="315" t="s">
        <v>358</v>
      </c>
      <c r="B54" s="316"/>
      <c r="C54" s="316"/>
      <c r="D54" s="316"/>
      <c r="E54" s="5"/>
      <c r="F54" s="5"/>
      <c r="G54" s="5"/>
      <c r="H54" s="5"/>
      <c r="I54" s="5"/>
      <c r="J54" s="5"/>
      <c r="K54" s="5"/>
      <c r="L54" s="182"/>
      <c r="M54" s="182"/>
      <c r="N54" s="182"/>
      <c r="O54" s="182"/>
      <c r="P54" s="68"/>
      <c r="Q54" s="68"/>
      <c r="R54" s="68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  <c r="AD54" s="182"/>
      <c r="AE54" s="182"/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2"/>
      <c r="BQ54" s="182"/>
      <c r="BR54" s="182"/>
      <c r="BS54" s="182"/>
      <c r="BT54" s="182"/>
      <c r="BU54" s="182"/>
      <c r="BV54" s="182"/>
      <c r="BW54" s="182"/>
      <c r="BX54" s="182"/>
      <c r="BY54" s="182"/>
      <c r="BZ54" s="182"/>
      <c r="CA54" s="182"/>
      <c r="CB54" s="182"/>
      <c r="CC54" s="182"/>
      <c r="CD54" s="182"/>
      <c r="CE54" s="182"/>
      <c r="CF54" s="182"/>
      <c r="CG54" s="182"/>
      <c r="CH54" s="182"/>
      <c r="CI54" s="182"/>
      <c r="CJ54" s="182"/>
      <c r="CK54" s="182"/>
      <c r="CL54" s="182"/>
      <c r="CM54" s="182"/>
    </row>
    <row r="55" spans="1:91" ht="29.25" customHeight="1" x14ac:dyDescent="0.2">
      <c r="A55" s="313" t="s">
        <v>359</v>
      </c>
      <c r="B55" s="313"/>
      <c r="C55" s="317" t="s">
        <v>360</v>
      </c>
      <c r="D55" s="317"/>
      <c r="E55" s="5"/>
      <c r="F55" s="5"/>
      <c r="G55" s="5"/>
      <c r="H55" s="5"/>
      <c r="I55" s="5"/>
      <c r="J55" s="5"/>
      <c r="K55" s="5"/>
      <c r="L55" s="182"/>
      <c r="M55" s="182"/>
      <c r="N55" s="182"/>
      <c r="O55" s="182"/>
      <c r="P55" s="68"/>
      <c r="Q55" s="68"/>
      <c r="R55" s="68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2"/>
      <c r="AE55" s="182"/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182"/>
      <c r="AR55" s="182"/>
      <c r="AS55" s="182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2"/>
      <c r="BQ55" s="182"/>
      <c r="BR55" s="182"/>
      <c r="BS55" s="182"/>
      <c r="BT55" s="182"/>
      <c r="BU55" s="182"/>
      <c r="BV55" s="182"/>
      <c r="BW55" s="182"/>
      <c r="BX55" s="182"/>
      <c r="BY55" s="182"/>
      <c r="BZ55" s="182"/>
      <c r="CA55" s="182"/>
      <c r="CB55" s="182"/>
      <c r="CC55" s="182"/>
      <c r="CD55" s="182"/>
      <c r="CE55" s="182"/>
      <c r="CF55" s="182"/>
      <c r="CG55" s="182"/>
      <c r="CH55" s="182"/>
      <c r="CI55" s="182"/>
      <c r="CJ55" s="182"/>
      <c r="CK55" s="182"/>
      <c r="CL55" s="182"/>
      <c r="CM55" s="182"/>
    </row>
    <row r="56" spans="1:91" ht="21" customHeight="1" x14ac:dyDescent="0.2">
      <c r="A56" s="309" t="s">
        <v>361</v>
      </c>
      <c r="B56" s="309"/>
      <c r="C56" s="314" t="s">
        <v>362</v>
      </c>
      <c r="D56" s="314"/>
      <c r="E56" s="5"/>
      <c r="F56" s="5"/>
      <c r="G56" s="5"/>
      <c r="H56" s="5"/>
      <c r="I56" s="5"/>
      <c r="J56" s="5"/>
      <c r="K56" s="5"/>
      <c r="L56" s="182"/>
      <c r="M56" s="182"/>
      <c r="N56" s="182"/>
      <c r="O56" s="182"/>
      <c r="P56" s="68"/>
      <c r="Q56" s="68"/>
      <c r="R56" s="68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  <c r="AC56" s="182"/>
      <c r="AD56" s="182"/>
      <c r="AE56" s="182"/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182"/>
      <c r="AR56" s="182"/>
      <c r="AS56" s="182"/>
      <c r="AT56" s="182"/>
      <c r="AU56" s="182"/>
      <c r="AV56" s="182"/>
      <c r="AW56" s="182"/>
      <c r="AX56" s="182"/>
      <c r="AY56" s="182"/>
      <c r="AZ56" s="182"/>
      <c r="BA56" s="182"/>
      <c r="BB56" s="182"/>
      <c r="BC56" s="182"/>
      <c r="BD56" s="182"/>
      <c r="BE56" s="182"/>
      <c r="BF56" s="182"/>
      <c r="BG56" s="182"/>
      <c r="BH56" s="182"/>
      <c r="BI56" s="182"/>
      <c r="BJ56" s="182"/>
      <c r="BK56" s="182"/>
      <c r="BL56" s="182"/>
      <c r="BM56" s="182"/>
      <c r="BN56" s="182"/>
      <c r="BO56" s="182"/>
      <c r="BP56" s="182"/>
      <c r="BQ56" s="182"/>
      <c r="BR56" s="182"/>
      <c r="BS56" s="182"/>
      <c r="BT56" s="182"/>
      <c r="BU56" s="182"/>
      <c r="BV56" s="182"/>
      <c r="BW56" s="182"/>
      <c r="BX56" s="182"/>
      <c r="BY56" s="182"/>
      <c r="BZ56" s="182"/>
      <c r="CA56" s="182"/>
      <c r="CB56" s="182"/>
      <c r="CC56" s="182"/>
      <c r="CD56" s="182"/>
      <c r="CE56" s="182"/>
      <c r="CF56" s="182"/>
      <c r="CG56" s="182"/>
      <c r="CH56" s="182"/>
      <c r="CI56" s="182"/>
      <c r="CJ56" s="182"/>
      <c r="CK56" s="182"/>
      <c r="CL56" s="182"/>
      <c r="CM56" s="182"/>
    </row>
    <row r="57" spans="1:91" x14ac:dyDescent="0.2">
      <c r="A57" s="309" t="s">
        <v>363</v>
      </c>
      <c r="B57" s="309"/>
      <c r="C57" s="309" t="s">
        <v>364</v>
      </c>
      <c r="D57" s="309"/>
      <c r="E57" s="5"/>
      <c r="F57" s="5"/>
      <c r="G57" s="5"/>
      <c r="H57" s="5"/>
      <c r="I57" s="5"/>
      <c r="J57" s="5"/>
      <c r="K57" s="5"/>
      <c r="L57" s="182"/>
      <c r="M57" s="182"/>
      <c r="N57" s="182"/>
      <c r="O57" s="182"/>
      <c r="P57" s="68"/>
      <c r="Q57" s="68"/>
      <c r="R57" s="68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182"/>
      <c r="AR57" s="182"/>
      <c r="AS57" s="182"/>
      <c r="AT57" s="182"/>
      <c r="AU57" s="182"/>
      <c r="AV57" s="182"/>
      <c r="AW57" s="182"/>
      <c r="AX57" s="182"/>
      <c r="AY57" s="182"/>
      <c r="AZ57" s="182"/>
      <c r="BA57" s="182"/>
      <c r="BB57" s="182"/>
      <c r="BC57" s="182"/>
      <c r="BD57" s="182"/>
      <c r="BE57" s="182"/>
      <c r="BF57" s="182"/>
      <c r="BG57" s="182"/>
      <c r="BH57" s="182"/>
      <c r="BI57" s="182"/>
      <c r="BJ57" s="182"/>
      <c r="BK57" s="182"/>
      <c r="BL57" s="182"/>
      <c r="BM57" s="182"/>
      <c r="BN57" s="182"/>
      <c r="BO57" s="182"/>
      <c r="BP57" s="182"/>
      <c r="BQ57" s="182"/>
      <c r="BR57" s="182"/>
      <c r="BS57" s="182"/>
      <c r="BT57" s="182"/>
      <c r="BU57" s="182"/>
      <c r="BV57" s="182"/>
      <c r="BW57" s="182"/>
      <c r="BX57" s="182"/>
      <c r="BY57" s="182"/>
      <c r="BZ57" s="182"/>
      <c r="CA57" s="182"/>
      <c r="CB57" s="182"/>
      <c r="CC57" s="182"/>
      <c r="CD57" s="182"/>
      <c r="CE57" s="182"/>
      <c r="CF57" s="182"/>
      <c r="CG57" s="182"/>
      <c r="CH57" s="182"/>
      <c r="CI57" s="182"/>
      <c r="CJ57" s="182"/>
      <c r="CK57" s="182"/>
      <c r="CL57" s="182"/>
      <c r="CM57" s="182"/>
    </row>
    <row r="58" spans="1:91" ht="29.25" customHeight="1" x14ac:dyDescent="0.2">
      <c r="A58" s="309" t="s">
        <v>365</v>
      </c>
      <c r="B58" s="309"/>
      <c r="C58" s="309" t="s">
        <v>366</v>
      </c>
      <c r="D58" s="309"/>
      <c r="E58" s="5"/>
      <c r="F58" s="5"/>
      <c r="G58" s="5"/>
      <c r="H58" s="5"/>
      <c r="I58" s="5"/>
      <c r="J58" s="5"/>
      <c r="K58" s="5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182"/>
      <c r="AR58" s="182"/>
      <c r="AS58" s="182"/>
      <c r="AT58" s="182"/>
      <c r="AU58" s="182"/>
      <c r="AV58" s="182"/>
      <c r="AW58" s="182"/>
      <c r="AX58" s="182"/>
      <c r="AY58" s="182"/>
      <c r="AZ58" s="182"/>
      <c r="BA58" s="182"/>
      <c r="BB58" s="182"/>
      <c r="BC58" s="182"/>
      <c r="BD58" s="182"/>
      <c r="BE58" s="182"/>
      <c r="BF58" s="182"/>
      <c r="BG58" s="182"/>
      <c r="BH58" s="182"/>
      <c r="BI58" s="182"/>
      <c r="BJ58" s="182"/>
      <c r="BK58" s="182"/>
      <c r="BL58" s="182"/>
      <c r="BM58" s="182"/>
      <c r="BN58" s="182"/>
      <c r="BO58" s="182"/>
      <c r="BP58" s="182"/>
      <c r="BQ58" s="182"/>
      <c r="BR58" s="182"/>
      <c r="BS58" s="182"/>
      <c r="BT58" s="182"/>
      <c r="BU58" s="182"/>
      <c r="BV58" s="182"/>
      <c r="BW58" s="182"/>
      <c r="BX58" s="182"/>
      <c r="BY58" s="182"/>
      <c r="BZ58" s="182"/>
      <c r="CA58" s="182"/>
      <c r="CB58" s="182"/>
      <c r="CC58" s="182"/>
      <c r="CD58" s="182"/>
      <c r="CE58" s="182"/>
      <c r="CF58" s="182"/>
      <c r="CG58" s="182"/>
      <c r="CH58" s="182"/>
      <c r="CI58" s="182"/>
      <c r="CJ58" s="182"/>
      <c r="CK58" s="182"/>
      <c r="CL58" s="182"/>
      <c r="CM58" s="182"/>
    </row>
    <row r="59" spans="1:91" x14ac:dyDescent="0.2">
      <c r="A59" s="309" t="s">
        <v>367</v>
      </c>
      <c r="B59" s="309"/>
      <c r="C59" s="309" t="s">
        <v>368</v>
      </c>
      <c r="D59" s="309"/>
      <c r="E59" s="5"/>
      <c r="F59" s="5"/>
      <c r="G59" s="5"/>
      <c r="H59" s="5"/>
      <c r="I59" s="5"/>
      <c r="J59" s="5"/>
      <c r="K59" s="5"/>
      <c r="L59" s="182"/>
      <c r="M59" s="182"/>
      <c r="N59" s="182"/>
      <c r="O59" s="182"/>
      <c r="P59" s="68"/>
      <c r="Q59" s="68"/>
      <c r="R59" s="68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182"/>
      <c r="AR59" s="182"/>
      <c r="AS59" s="182"/>
      <c r="AT59" s="182"/>
      <c r="AU59" s="182"/>
      <c r="AV59" s="182"/>
      <c r="AW59" s="182"/>
      <c r="AX59" s="182"/>
      <c r="AY59" s="182"/>
      <c r="AZ59" s="182"/>
      <c r="BA59" s="182"/>
      <c r="BB59" s="182"/>
      <c r="BC59" s="182"/>
      <c r="BD59" s="182"/>
      <c r="BE59" s="182"/>
      <c r="BF59" s="182"/>
      <c r="BG59" s="182"/>
      <c r="BH59" s="182"/>
      <c r="BI59" s="182"/>
      <c r="BJ59" s="182"/>
      <c r="BK59" s="182"/>
      <c r="BL59" s="182"/>
      <c r="BM59" s="182"/>
      <c r="BN59" s="182"/>
      <c r="BO59" s="182"/>
      <c r="BP59" s="182"/>
      <c r="BQ59" s="182"/>
      <c r="BR59" s="182"/>
      <c r="BS59" s="182"/>
      <c r="BT59" s="182"/>
      <c r="BU59" s="182"/>
      <c r="BV59" s="4"/>
      <c r="BW59" s="182"/>
      <c r="BX59" s="4"/>
      <c r="BY59" s="182"/>
      <c r="BZ59" s="182"/>
      <c r="CA59" s="182"/>
      <c r="CB59" s="182"/>
      <c r="CC59" s="182"/>
      <c r="CD59" s="182"/>
      <c r="CE59" s="182"/>
      <c r="CF59" s="182"/>
      <c r="CG59" s="182"/>
      <c r="CH59" s="182"/>
      <c r="CI59" s="182"/>
      <c r="CJ59" s="182"/>
      <c r="CK59" s="182"/>
      <c r="CL59" s="182"/>
      <c r="CM59" s="182"/>
    </row>
    <row r="60" spans="1:91" ht="29.25" customHeight="1" x14ac:dyDescent="0.2">
      <c r="A60" s="309" t="s">
        <v>369</v>
      </c>
      <c r="B60" s="309"/>
      <c r="C60" s="309" t="s">
        <v>370</v>
      </c>
      <c r="D60" s="309"/>
      <c r="E60" s="5"/>
      <c r="F60" s="5"/>
      <c r="G60" s="5"/>
      <c r="H60" s="5"/>
      <c r="I60" s="5"/>
      <c r="J60" s="5"/>
      <c r="K60" s="5"/>
      <c r="L60" s="182"/>
      <c r="M60" s="182"/>
      <c r="N60" s="182"/>
      <c r="O60" s="182"/>
      <c r="P60" s="68"/>
      <c r="Q60" s="68"/>
      <c r="R60" s="68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  <c r="AK60" s="182"/>
      <c r="AL60" s="182"/>
      <c r="AM60" s="182"/>
      <c r="AN60" s="182"/>
      <c r="AO60" s="182"/>
      <c r="AP60" s="182"/>
      <c r="AQ60" s="182"/>
      <c r="AR60" s="182"/>
      <c r="AS60" s="182"/>
      <c r="AT60" s="182"/>
      <c r="AU60" s="182"/>
      <c r="AV60" s="182"/>
      <c r="AW60" s="182"/>
      <c r="AX60" s="182"/>
      <c r="AY60" s="182"/>
      <c r="AZ60" s="182"/>
      <c r="BA60" s="182"/>
      <c r="BB60" s="182"/>
      <c r="BC60" s="182"/>
      <c r="BD60" s="182"/>
      <c r="BE60" s="182"/>
      <c r="BF60" s="182"/>
      <c r="BG60" s="182"/>
      <c r="BH60" s="182"/>
      <c r="BI60" s="182"/>
      <c r="BJ60" s="182"/>
      <c r="BK60" s="182"/>
      <c r="BL60" s="182"/>
      <c r="BM60" s="182"/>
      <c r="BN60" s="182"/>
      <c r="BO60" s="182"/>
      <c r="BP60" s="182"/>
      <c r="BQ60" s="182"/>
      <c r="BR60" s="182"/>
      <c r="BS60" s="182"/>
      <c r="BT60" s="182"/>
      <c r="BU60" s="182"/>
      <c r="BV60" s="182"/>
      <c r="BW60" s="182"/>
      <c r="BX60" s="182"/>
      <c r="BY60" s="182"/>
      <c r="BZ60" s="182"/>
      <c r="CA60" s="182"/>
      <c r="CB60" s="182"/>
      <c r="CC60" s="182"/>
      <c r="CD60" s="182"/>
      <c r="CE60" s="182"/>
      <c r="CF60" s="182"/>
      <c r="CG60" s="182"/>
      <c r="CH60" s="182"/>
      <c r="CI60" s="182"/>
      <c r="CJ60" s="182"/>
      <c r="CK60" s="182"/>
      <c r="CL60" s="182"/>
      <c r="CM60" s="182"/>
    </row>
    <row r="61" spans="1:91" x14ac:dyDescent="0.2">
      <c r="A61" s="309" t="s">
        <v>371</v>
      </c>
      <c r="B61" s="309"/>
      <c r="C61" s="314" t="s">
        <v>372</v>
      </c>
      <c r="D61" s="314"/>
      <c r="E61" s="5"/>
      <c r="F61" s="5"/>
      <c r="G61" s="5"/>
      <c r="H61" s="5"/>
      <c r="I61" s="5"/>
      <c r="J61" s="5"/>
      <c r="K61" s="5"/>
      <c r="L61" s="182"/>
      <c r="M61" s="182"/>
      <c r="N61" s="182"/>
      <c r="O61" s="182"/>
      <c r="P61" s="68"/>
      <c r="Q61" s="68"/>
      <c r="R61" s="68"/>
      <c r="S61" s="68"/>
      <c r="T61" s="68"/>
      <c r="U61" s="182"/>
      <c r="V61" s="182"/>
      <c r="W61" s="182"/>
      <c r="X61" s="182"/>
      <c r="Y61" s="182"/>
      <c r="Z61" s="182"/>
      <c r="AA61" s="182"/>
      <c r="AB61" s="182"/>
      <c r="AC61" s="182"/>
      <c r="AD61" s="182"/>
      <c r="AE61" s="182"/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182"/>
      <c r="AR61" s="182"/>
      <c r="AS61" s="182"/>
      <c r="AT61" s="182"/>
      <c r="AU61" s="182"/>
      <c r="AV61" s="182"/>
      <c r="AW61" s="182"/>
      <c r="AX61" s="182"/>
      <c r="AY61" s="182"/>
      <c r="AZ61" s="182"/>
      <c r="BA61" s="182"/>
      <c r="BB61" s="182"/>
      <c r="BC61" s="182"/>
      <c r="BD61" s="182"/>
      <c r="BE61" s="182"/>
      <c r="BF61" s="182"/>
      <c r="BG61" s="182"/>
      <c r="BH61" s="182"/>
      <c r="BI61" s="182"/>
      <c r="BJ61" s="182"/>
      <c r="BK61" s="182"/>
      <c r="BL61" s="182"/>
      <c r="BM61" s="182"/>
      <c r="BN61" s="182"/>
      <c r="BO61" s="182"/>
      <c r="BP61" s="182"/>
      <c r="BQ61" s="182"/>
      <c r="BR61" s="182"/>
      <c r="BS61" s="182"/>
      <c r="BT61" s="182"/>
      <c r="BU61" s="182"/>
      <c r="BV61" s="182"/>
      <c r="BW61" s="182"/>
      <c r="BX61" s="182"/>
      <c r="BY61" s="182"/>
      <c r="BZ61" s="182"/>
      <c r="CA61" s="182"/>
      <c r="CB61" s="182"/>
      <c r="CC61" s="182"/>
      <c r="CD61" s="182"/>
      <c r="CE61" s="182"/>
      <c r="CF61" s="182"/>
      <c r="CG61" s="182"/>
      <c r="CH61" s="182"/>
      <c r="CI61" s="182"/>
      <c r="CJ61" s="182"/>
      <c r="CK61" s="182"/>
      <c r="CL61" s="182"/>
      <c r="CM61" s="182"/>
    </row>
    <row r="62" spans="1:91" x14ac:dyDescent="0.2">
      <c r="A62" s="309" t="s">
        <v>373</v>
      </c>
      <c r="B62" s="309"/>
      <c r="C62" s="309" t="s">
        <v>374</v>
      </c>
      <c r="D62" s="309"/>
      <c r="E62" s="5"/>
      <c r="F62" s="5"/>
      <c r="G62" s="5"/>
      <c r="H62" s="5"/>
      <c r="I62" s="5"/>
      <c r="J62" s="5"/>
      <c r="K62" s="5"/>
      <c r="L62" s="182"/>
      <c r="M62" s="182"/>
      <c r="N62" s="182"/>
      <c r="O62" s="182"/>
      <c r="P62" s="68"/>
      <c r="Q62" s="68"/>
      <c r="R62" s="68"/>
      <c r="S62" s="68"/>
      <c r="T62" s="68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182"/>
      <c r="AR62" s="182"/>
      <c r="AS62" s="182"/>
      <c r="AT62" s="182"/>
      <c r="AU62" s="182"/>
      <c r="AV62" s="182"/>
      <c r="AW62" s="182"/>
      <c r="AX62" s="182"/>
      <c r="AY62" s="182"/>
      <c r="AZ62" s="182"/>
      <c r="BA62" s="182"/>
      <c r="BB62" s="182"/>
      <c r="BC62" s="182"/>
      <c r="BD62" s="182"/>
      <c r="BE62" s="182"/>
      <c r="BF62" s="182"/>
      <c r="BG62" s="182"/>
      <c r="BH62" s="182"/>
      <c r="BI62" s="182"/>
      <c r="BJ62" s="182"/>
      <c r="BK62" s="182"/>
      <c r="BL62" s="182"/>
      <c r="BM62" s="182"/>
      <c r="BN62" s="182"/>
      <c r="BO62" s="182"/>
      <c r="BP62" s="182"/>
      <c r="BQ62" s="182"/>
      <c r="BR62" s="182"/>
      <c r="BS62" s="182"/>
      <c r="BT62" s="182"/>
      <c r="BU62" s="182"/>
      <c r="BV62" s="182"/>
      <c r="BW62" s="182"/>
      <c r="BX62" s="182"/>
      <c r="BY62" s="182"/>
      <c r="BZ62" s="182"/>
      <c r="CA62" s="182"/>
      <c r="CB62" s="182"/>
      <c r="CC62" s="182"/>
      <c r="CD62" s="182"/>
      <c r="CE62" s="182"/>
      <c r="CF62" s="182"/>
      <c r="CG62" s="182"/>
      <c r="CH62" s="182"/>
      <c r="CI62" s="182"/>
      <c r="CJ62" s="182"/>
      <c r="CK62" s="182"/>
      <c r="CL62" s="182"/>
      <c r="CM62" s="182"/>
    </row>
    <row r="63" spans="1:91" x14ac:dyDescent="0.2">
      <c r="A63" s="309" t="s">
        <v>375</v>
      </c>
      <c r="B63" s="309"/>
      <c r="C63" s="309" t="s">
        <v>376</v>
      </c>
      <c r="D63" s="309"/>
      <c r="E63" s="5"/>
      <c r="F63" s="5"/>
      <c r="G63" s="5"/>
      <c r="H63" s="5"/>
      <c r="I63" s="5"/>
      <c r="J63" s="5"/>
      <c r="K63" s="3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182"/>
      <c r="AR63" s="182"/>
      <c r="AS63" s="182"/>
      <c r="AT63" s="182"/>
      <c r="AU63" s="182"/>
      <c r="AV63" s="182"/>
      <c r="AW63" s="182"/>
      <c r="AX63" s="182"/>
      <c r="AY63" s="182"/>
      <c r="AZ63" s="182"/>
      <c r="BA63" s="182"/>
      <c r="BB63" s="182"/>
      <c r="BC63" s="182"/>
      <c r="BD63" s="182"/>
      <c r="BE63" s="182"/>
      <c r="BF63" s="182"/>
      <c r="BG63" s="182"/>
      <c r="BH63" s="182"/>
      <c r="BI63" s="182"/>
      <c r="BJ63" s="182"/>
      <c r="BK63" s="182"/>
      <c r="BL63" s="182"/>
      <c r="BM63" s="182"/>
      <c r="BN63" s="182"/>
      <c r="BO63" s="182"/>
      <c r="BP63" s="182"/>
      <c r="BQ63" s="182"/>
      <c r="BR63" s="182"/>
      <c r="BS63" s="182"/>
      <c r="BT63" s="182"/>
      <c r="BU63" s="182"/>
      <c r="BV63" s="182"/>
      <c r="BW63" s="182"/>
      <c r="BX63" s="182"/>
      <c r="BY63" s="182"/>
      <c r="BZ63" s="182"/>
      <c r="CA63" s="182"/>
      <c r="CB63" s="182"/>
      <c r="CC63" s="182"/>
      <c r="CD63" s="182"/>
      <c r="CE63" s="182"/>
      <c r="CF63" s="182"/>
      <c r="CG63" s="182"/>
      <c r="CH63" s="182"/>
      <c r="CI63" s="182"/>
      <c r="CJ63" s="182"/>
      <c r="CK63" s="182"/>
      <c r="CL63" s="182"/>
      <c r="CM63" s="182"/>
    </row>
    <row r="64" spans="1:91" x14ac:dyDescent="0.2">
      <c r="A64" s="312" t="s">
        <v>259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</row>
    <row r="65" spans="1:103" ht="16" x14ac:dyDescent="0.2">
      <c r="A65" s="4"/>
      <c r="B65" s="4" t="s">
        <v>198</v>
      </c>
      <c r="C65" s="4" t="s">
        <v>110</v>
      </c>
      <c r="D65" s="4" t="s">
        <v>114</v>
      </c>
      <c r="E65" s="4" t="s">
        <v>118</v>
      </c>
      <c r="F65" s="4" t="s">
        <v>123</v>
      </c>
      <c r="G65" s="4" t="s">
        <v>127</v>
      </c>
      <c r="H65" s="4" t="s">
        <v>130</v>
      </c>
      <c r="I65" s="4" t="s">
        <v>133</v>
      </c>
      <c r="J65" s="4" t="s">
        <v>143</v>
      </c>
      <c r="K65" s="4" t="s">
        <v>377</v>
      </c>
      <c r="L65" s="4" t="s">
        <v>151</v>
      </c>
      <c r="M65" s="4" t="s">
        <v>157</v>
      </c>
      <c r="N65" s="3" t="s">
        <v>378</v>
      </c>
      <c r="O65" s="4" t="s">
        <v>379</v>
      </c>
      <c r="P65" s="4"/>
    </row>
    <row r="66" spans="1:103" ht="16" x14ac:dyDescent="0.2">
      <c r="A66" s="3" t="s">
        <v>260</v>
      </c>
      <c r="B66" s="5">
        <v>830.1875</v>
      </c>
      <c r="C66" s="5">
        <v>1011.6875</v>
      </c>
      <c r="D66" s="5">
        <v>860.1875</v>
      </c>
      <c r="E66" s="5">
        <v>73.125</v>
      </c>
      <c r="F66" s="5">
        <v>757.625</v>
      </c>
      <c r="G66" s="5">
        <v>166.3125</v>
      </c>
      <c r="H66" s="5">
        <v>295.4375</v>
      </c>
      <c r="I66" s="5">
        <v>711.0625</v>
      </c>
      <c r="J66" s="5">
        <v>351.625</v>
      </c>
      <c r="K66" s="5">
        <v>111.3125</v>
      </c>
      <c r="L66" s="5">
        <v>122.625</v>
      </c>
      <c r="M66" s="2">
        <v>349.4375</v>
      </c>
      <c r="N66" s="1">
        <v>959.0625</v>
      </c>
      <c r="O66" s="1">
        <v>2018.5</v>
      </c>
      <c r="P66" s="50">
        <f t="shared" ref="P66:P78" si="3">SUM(B66:O66)</f>
        <v>8618.1875</v>
      </c>
      <c r="Q66" s="3">
        <v>3</v>
      </c>
      <c r="R66" s="1"/>
      <c r="S66" s="2" t="s">
        <v>263</v>
      </c>
      <c r="T66" s="2">
        <f>1</f>
        <v>1</v>
      </c>
      <c r="BT66" s="4"/>
    </row>
    <row r="67" spans="1:103" ht="16" x14ac:dyDescent="0.2">
      <c r="A67" s="3" t="s">
        <v>262</v>
      </c>
      <c r="B67" s="2">
        <v>453.3125</v>
      </c>
      <c r="C67" s="2">
        <v>346.75</v>
      </c>
      <c r="D67" s="2">
        <v>221.75</v>
      </c>
      <c r="E67" s="2">
        <v>113.25</v>
      </c>
      <c r="F67" s="2">
        <v>136.25</v>
      </c>
      <c r="G67" s="2">
        <v>42.875</v>
      </c>
      <c r="H67" s="2">
        <v>173.75</v>
      </c>
      <c r="I67" s="2">
        <v>235.25</v>
      </c>
      <c r="J67" s="2">
        <v>96.4375</v>
      </c>
      <c r="K67" s="2">
        <v>40.4375</v>
      </c>
      <c r="L67" s="2">
        <v>22</v>
      </c>
      <c r="M67" s="2">
        <v>51.3125</v>
      </c>
      <c r="N67" s="1">
        <v>178.375</v>
      </c>
      <c r="O67" s="1">
        <v>628.875</v>
      </c>
      <c r="P67" s="50">
        <f t="shared" si="3"/>
        <v>2740.625</v>
      </c>
      <c r="Q67" s="3">
        <v>8</v>
      </c>
      <c r="R67" s="1"/>
      <c r="S67" s="2" t="s">
        <v>272</v>
      </c>
      <c r="T67" s="2">
        <f>2</f>
        <v>2</v>
      </c>
      <c r="AD67" s="4"/>
      <c r="CK67" s="4"/>
      <c r="CL67" s="4"/>
      <c r="CM67" s="4"/>
    </row>
    <row r="68" spans="1:103" ht="16" x14ac:dyDescent="0.2">
      <c r="A68" s="3" t="s">
        <v>270</v>
      </c>
      <c r="B68" s="2">
        <v>42.5625</v>
      </c>
      <c r="C68" s="2">
        <v>1.5</v>
      </c>
      <c r="D68" s="2">
        <v>76.4375</v>
      </c>
      <c r="E68" s="2">
        <v>0.75</v>
      </c>
      <c r="F68" s="2">
        <v>43.5625</v>
      </c>
      <c r="G68" s="2">
        <v>0.125</v>
      </c>
      <c r="H68" s="2">
        <v>3.125</v>
      </c>
      <c r="I68" s="2">
        <v>42.8125</v>
      </c>
      <c r="J68" s="2">
        <v>0.25</v>
      </c>
      <c r="K68" s="2">
        <v>1.1875</v>
      </c>
      <c r="L68" s="2">
        <v>11.75</v>
      </c>
      <c r="M68" s="2">
        <v>11.3125</v>
      </c>
      <c r="N68" s="1">
        <v>33.75</v>
      </c>
      <c r="O68" s="1">
        <v>69.875</v>
      </c>
      <c r="P68" s="50">
        <f t="shared" si="3"/>
        <v>339</v>
      </c>
      <c r="Q68" s="3">
        <v>11</v>
      </c>
      <c r="R68" s="1"/>
      <c r="S68" s="59" t="s">
        <v>260</v>
      </c>
      <c r="T68" s="2">
        <f>3</f>
        <v>3</v>
      </c>
      <c r="U68" s="48"/>
      <c r="V68" s="48"/>
      <c r="AD68" s="4"/>
      <c r="CK68" s="4"/>
      <c r="CL68" s="4"/>
      <c r="CM68" s="4"/>
    </row>
    <row r="69" spans="1:103" x14ac:dyDescent="0.2">
      <c r="A69" s="3" t="s">
        <v>264</v>
      </c>
      <c r="B69" s="2">
        <v>167.25</v>
      </c>
      <c r="C69" s="2">
        <v>1.5</v>
      </c>
      <c r="D69" s="2">
        <v>1847.125</v>
      </c>
      <c r="E69" s="2">
        <v>52.9375</v>
      </c>
      <c r="F69" s="2">
        <v>94.25</v>
      </c>
      <c r="G69" s="2">
        <v>72.75</v>
      </c>
      <c r="H69" s="2">
        <v>141.9375</v>
      </c>
      <c r="I69" s="2">
        <v>77.3125</v>
      </c>
      <c r="J69" s="2">
        <v>207.6875</v>
      </c>
      <c r="K69" s="2">
        <v>26.9375</v>
      </c>
      <c r="L69" s="2">
        <v>39.25</v>
      </c>
      <c r="M69" s="2">
        <v>93.6875</v>
      </c>
      <c r="N69" s="1">
        <v>260.3125</v>
      </c>
      <c r="O69" s="1">
        <v>813.75</v>
      </c>
      <c r="P69" s="50">
        <f t="shared" si="3"/>
        <v>3896.6875</v>
      </c>
      <c r="Q69" s="3">
        <v>6</v>
      </c>
      <c r="R69" s="1"/>
      <c r="S69" s="3"/>
      <c r="T69" s="1"/>
      <c r="U69" s="3"/>
      <c r="V69" s="1"/>
      <c r="AD69" s="4"/>
      <c r="CK69" s="4"/>
      <c r="CL69" s="4"/>
      <c r="CM69" s="4"/>
      <c r="CU69" s="4"/>
      <c r="CV69" s="4"/>
      <c r="CW69" s="4"/>
      <c r="CX69" s="4"/>
      <c r="CY69" s="4"/>
    </row>
    <row r="70" spans="1:103" x14ac:dyDescent="0.2">
      <c r="A70" s="3" t="s">
        <v>268</v>
      </c>
      <c r="B70" s="2">
        <v>2.125</v>
      </c>
      <c r="C70" s="2">
        <v>27.0625</v>
      </c>
      <c r="D70" s="2">
        <v>5.875</v>
      </c>
      <c r="E70" s="2">
        <v>0</v>
      </c>
      <c r="F70" s="2">
        <v>0.5</v>
      </c>
      <c r="G70" s="2">
        <v>0.125</v>
      </c>
      <c r="H70" s="2">
        <v>0.5</v>
      </c>
      <c r="I70" s="2">
        <v>18.5</v>
      </c>
      <c r="J70" s="2">
        <v>6.25E-2</v>
      </c>
      <c r="K70" s="2">
        <v>0</v>
      </c>
      <c r="L70" s="2">
        <v>0</v>
      </c>
      <c r="M70" s="2">
        <v>0</v>
      </c>
      <c r="N70" s="1">
        <v>0</v>
      </c>
      <c r="O70" s="1">
        <v>15.625</v>
      </c>
      <c r="P70" s="50">
        <f t="shared" si="3"/>
        <v>70.375</v>
      </c>
      <c r="Q70" s="3">
        <v>13</v>
      </c>
      <c r="R70" s="1"/>
      <c r="S70" s="3"/>
      <c r="T70" s="1"/>
      <c r="U70" s="3"/>
      <c r="V70" s="1"/>
      <c r="AD70" s="4"/>
      <c r="CK70" s="4"/>
      <c r="CL70" s="4"/>
      <c r="CM70" s="4"/>
    </row>
    <row r="71" spans="1:103" ht="19.5" customHeight="1" x14ac:dyDescent="0.2">
      <c r="A71" s="3" t="s">
        <v>269</v>
      </c>
      <c r="B71" s="2">
        <v>326</v>
      </c>
      <c r="C71" s="2">
        <v>5.25</v>
      </c>
      <c r="D71" s="2">
        <v>11.8125</v>
      </c>
      <c r="E71" s="2">
        <v>9.0625</v>
      </c>
      <c r="F71" s="2">
        <v>8.125</v>
      </c>
      <c r="G71" s="2">
        <v>12.25</v>
      </c>
      <c r="H71" s="2">
        <v>31.9375</v>
      </c>
      <c r="I71" s="2">
        <v>43.8125</v>
      </c>
      <c r="J71" s="2">
        <v>25.4375</v>
      </c>
      <c r="K71" s="2">
        <v>12.4375</v>
      </c>
      <c r="L71" s="2">
        <v>1.4375</v>
      </c>
      <c r="M71" s="2">
        <v>3.5625</v>
      </c>
      <c r="N71" s="1">
        <v>27.8125</v>
      </c>
      <c r="O71" s="1">
        <v>255.9375</v>
      </c>
      <c r="P71" s="50">
        <f t="shared" si="3"/>
        <v>774.875</v>
      </c>
      <c r="Q71" s="3">
        <v>9</v>
      </c>
      <c r="R71" s="1"/>
      <c r="S71" s="3"/>
      <c r="T71" s="1"/>
      <c r="U71" s="3"/>
      <c r="V71" s="1"/>
      <c r="AF71" s="4"/>
      <c r="AG71" s="4"/>
      <c r="AH71" s="4"/>
      <c r="AI71" s="4"/>
      <c r="AJ71" s="4"/>
      <c r="AK71" s="4"/>
      <c r="AL71" s="4"/>
      <c r="AM71" s="4"/>
      <c r="AN71" s="4"/>
      <c r="BS71" s="4"/>
      <c r="BT71" s="4"/>
      <c r="BU71" s="4"/>
      <c r="BV71" s="4"/>
      <c r="BW71" s="4"/>
      <c r="BX71" s="4"/>
      <c r="BY71" s="4"/>
    </row>
    <row r="72" spans="1:103" s="4" customFormat="1" x14ac:dyDescent="0.2">
      <c r="A72" s="3" t="s">
        <v>263</v>
      </c>
      <c r="B72" s="2">
        <v>805.1875</v>
      </c>
      <c r="C72" s="2">
        <v>4433.4375</v>
      </c>
      <c r="D72" s="2">
        <v>3319.5</v>
      </c>
      <c r="E72" s="2">
        <v>380.9375</v>
      </c>
      <c r="F72" s="2">
        <v>985.4375</v>
      </c>
      <c r="G72" s="2">
        <v>567.8125</v>
      </c>
      <c r="H72" s="2">
        <v>480.6875</v>
      </c>
      <c r="I72" s="2">
        <v>776.625</v>
      </c>
      <c r="J72" s="2">
        <v>1134</v>
      </c>
      <c r="K72" s="2">
        <v>173.5625</v>
      </c>
      <c r="L72" s="2">
        <v>136.5625</v>
      </c>
      <c r="M72" s="2">
        <v>728.4375</v>
      </c>
      <c r="N72" s="1">
        <v>897.5625</v>
      </c>
      <c r="O72" s="1">
        <v>4475.6875</v>
      </c>
      <c r="P72" s="50">
        <f t="shared" si="3"/>
        <v>19295.4375</v>
      </c>
      <c r="Q72" s="3">
        <v>1</v>
      </c>
      <c r="R72" s="1"/>
      <c r="S72" s="3"/>
      <c r="T72" s="1"/>
      <c r="U72" s="3"/>
      <c r="V72" s="1"/>
      <c r="AB72" s="2"/>
      <c r="AD72" s="2"/>
      <c r="AE72" s="2"/>
      <c r="AF72" s="2"/>
      <c r="AG72" s="2"/>
      <c r="AH72" s="2"/>
      <c r="AI72" s="2"/>
      <c r="AJ72" s="2"/>
      <c r="AK72" s="2"/>
      <c r="AL72" s="2"/>
      <c r="BP72" s="2"/>
      <c r="BQ72" s="2"/>
      <c r="BR72" s="2"/>
      <c r="BS72" s="2"/>
      <c r="BT72" s="2"/>
      <c r="BU72" s="2"/>
      <c r="BV72" s="2"/>
      <c r="BW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U72" s="2"/>
      <c r="CV72" s="2"/>
      <c r="CW72" s="2"/>
      <c r="CX72" s="2"/>
      <c r="CY72" s="2"/>
    </row>
    <row r="73" spans="1:103" x14ac:dyDescent="0.2">
      <c r="A73" s="3" t="s">
        <v>271</v>
      </c>
      <c r="B73" s="2">
        <v>19.375</v>
      </c>
      <c r="C73" s="2">
        <v>58.375</v>
      </c>
      <c r="D73" s="2">
        <v>8.4375</v>
      </c>
      <c r="E73" s="2">
        <v>3.6875</v>
      </c>
      <c r="F73" s="2">
        <v>1.375</v>
      </c>
      <c r="G73" s="2">
        <v>23.625</v>
      </c>
      <c r="H73" s="2">
        <v>18.9375</v>
      </c>
      <c r="I73" s="2">
        <v>26.0625</v>
      </c>
      <c r="J73" s="2">
        <v>10.5</v>
      </c>
      <c r="K73" s="2">
        <v>4.8125</v>
      </c>
      <c r="L73" s="2">
        <v>6.25</v>
      </c>
      <c r="M73" s="2">
        <v>0.625</v>
      </c>
      <c r="N73" s="1">
        <v>14.5</v>
      </c>
      <c r="O73" s="1">
        <v>12.625</v>
      </c>
      <c r="P73" s="50">
        <f t="shared" si="3"/>
        <v>209.1875</v>
      </c>
      <c r="Q73" s="3">
        <v>12</v>
      </c>
      <c r="R73" s="1"/>
      <c r="S73" s="3"/>
      <c r="T73" s="1"/>
      <c r="U73" s="3"/>
      <c r="V73" s="1"/>
    </row>
    <row r="74" spans="1:103" x14ac:dyDescent="0.2">
      <c r="A74" s="3" t="s">
        <v>266</v>
      </c>
      <c r="B74" s="2">
        <v>243.9375</v>
      </c>
      <c r="C74" s="2">
        <v>529.9375</v>
      </c>
      <c r="D74" s="2">
        <v>487.9375</v>
      </c>
      <c r="E74" s="2">
        <v>21.625</v>
      </c>
      <c r="F74" s="2">
        <v>378.0625</v>
      </c>
      <c r="G74" s="2">
        <v>137</v>
      </c>
      <c r="H74" s="2">
        <v>40.375</v>
      </c>
      <c r="I74" s="2">
        <v>176.5</v>
      </c>
      <c r="J74" s="2">
        <v>281.8125</v>
      </c>
      <c r="K74" s="2">
        <v>20.3125</v>
      </c>
      <c r="L74" s="2">
        <v>26.9375</v>
      </c>
      <c r="M74" s="2">
        <v>173.4375</v>
      </c>
      <c r="N74" s="1">
        <v>274.3125</v>
      </c>
      <c r="O74" s="1">
        <v>1540.0625</v>
      </c>
      <c r="P74" s="50">
        <f t="shared" si="3"/>
        <v>4332.25</v>
      </c>
      <c r="Q74" s="3">
        <v>5</v>
      </c>
      <c r="R74" s="1"/>
      <c r="S74" s="3"/>
      <c r="T74" s="1"/>
      <c r="U74" s="3"/>
      <c r="V74" s="1"/>
    </row>
    <row r="75" spans="1:103" x14ac:dyDescent="0.2">
      <c r="A75" s="3" t="s">
        <v>272</v>
      </c>
      <c r="B75" s="2">
        <v>83.625</v>
      </c>
      <c r="C75" s="2">
        <v>172</v>
      </c>
      <c r="D75" s="2">
        <v>160.9375</v>
      </c>
      <c r="E75" s="2">
        <v>683.75</v>
      </c>
      <c r="F75" s="2">
        <v>14</v>
      </c>
      <c r="G75" s="2">
        <v>1139.6875</v>
      </c>
      <c r="H75" s="2">
        <v>1242.4375</v>
      </c>
      <c r="I75" s="2">
        <v>104.8125</v>
      </c>
      <c r="J75" s="2">
        <v>2294.0625</v>
      </c>
      <c r="K75" s="2">
        <v>412.0625</v>
      </c>
      <c r="L75" s="2">
        <v>11.9375</v>
      </c>
      <c r="M75" s="2">
        <v>29.5625</v>
      </c>
      <c r="N75" s="1">
        <v>220.3125</v>
      </c>
      <c r="O75" s="1">
        <v>306.1875</v>
      </c>
      <c r="P75" s="50">
        <f t="shared" si="3"/>
        <v>6875.375</v>
      </c>
      <c r="Q75" s="3">
        <v>2</v>
      </c>
      <c r="R75" s="1"/>
      <c r="S75" s="3"/>
      <c r="T75" s="1"/>
      <c r="U75" s="3"/>
      <c r="V75" s="1"/>
    </row>
    <row r="76" spans="1:103" x14ac:dyDescent="0.2">
      <c r="A76" s="3" t="s">
        <v>261</v>
      </c>
      <c r="B76" s="2">
        <v>247.5</v>
      </c>
      <c r="C76" s="2">
        <v>318.3125</v>
      </c>
      <c r="D76" s="2">
        <v>365.25</v>
      </c>
      <c r="E76" s="2">
        <v>10</v>
      </c>
      <c r="F76" s="2">
        <v>217</v>
      </c>
      <c r="G76" s="2">
        <v>86.875</v>
      </c>
      <c r="H76" s="2">
        <v>39.5625</v>
      </c>
      <c r="I76" s="2">
        <v>194.4375</v>
      </c>
      <c r="J76" s="2">
        <v>79.625</v>
      </c>
      <c r="K76" s="2">
        <v>14.5</v>
      </c>
      <c r="L76" s="2">
        <v>19.0625</v>
      </c>
      <c r="M76" s="2">
        <v>111.25</v>
      </c>
      <c r="N76" s="1">
        <v>440.4375</v>
      </c>
      <c r="O76" s="1">
        <v>2621.75</v>
      </c>
      <c r="P76" s="50">
        <f t="shared" si="3"/>
        <v>4765.5625</v>
      </c>
      <c r="Q76" s="3">
        <v>4</v>
      </c>
      <c r="R76" s="1"/>
      <c r="S76" s="3"/>
      <c r="T76" s="1"/>
      <c r="U76" s="3"/>
      <c r="V76" s="1"/>
    </row>
    <row r="77" spans="1:103" x14ac:dyDescent="0.2">
      <c r="A77" s="3" t="s">
        <v>265</v>
      </c>
      <c r="B77" s="2">
        <v>24.75</v>
      </c>
      <c r="C77" s="2">
        <v>866</v>
      </c>
      <c r="D77" s="2">
        <v>42.125</v>
      </c>
      <c r="E77" s="2">
        <v>17.3125</v>
      </c>
      <c r="F77" s="2">
        <v>88.375</v>
      </c>
      <c r="G77" s="2">
        <v>17.5625</v>
      </c>
      <c r="H77" s="2">
        <v>8.6875</v>
      </c>
      <c r="I77" s="2">
        <v>26.4375</v>
      </c>
      <c r="J77" s="2">
        <v>101.375</v>
      </c>
      <c r="K77" s="2">
        <v>4.75</v>
      </c>
      <c r="L77" s="2">
        <v>28.3125</v>
      </c>
      <c r="M77" s="2">
        <v>7.5625</v>
      </c>
      <c r="N77" s="1">
        <v>14.9375</v>
      </c>
      <c r="O77" s="1">
        <v>1347.5625</v>
      </c>
      <c r="P77" s="50">
        <f t="shared" si="3"/>
        <v>2595.75</v>
      </c>
      <c r="Q77" s="3">
        <v>7</v>
      </c>
      <c r="R77" s="1"/>
      <c r="S77" s="3"/>
      <c r="T77" s="1"/>
      <c r="U77" s="3"/>
      <c r="V77" s="1"/>
    </row>
    <row r="78" spans="1:103" x14ac:dyDescent="0.2">
      <c r="A78" s="3" t="s">
        <v>267</v>
      </c>
      <c r="B78" s="2">
        <v>43.8125</v>
      </c>
      <c r="C78" s="2">
        <v>408.6875</v>
      </c>
      <c r="D78" s="2">
        <v>51.9375</v>
      </c>
      <c r="E78" s="2">
        <v>1.0625</v>
      </c>
      <c r="F78" s="2">
        <v>46.0625</v>
      </c>
      <c r="G78" s="2">
        <v>12.375</v>
      </c>
      <c r="H78" s="2">
        <v>7.5</v>
      </c>
      <c r="I78" s="2">
        <v>15.5</v>
      </c>
      <c r="J78" s="2">
        <v>5.25</v>
      </c>
      <c r="K78" s="2">
        <v>1.8125</v>
      </c>
      <c r="L78" s="2">
        <v>2.0625</v>
      </c>
      <c r="M78" s="2">
        <v>5.5</v>
      </c>
      <c r="N78" s="1">
        <v>14.75</v>
      </c>
      <c r="O78" s="1">
        <v>47.25</v>
      </c>
      <c r="P78" s="50">
        <f t="shared" si="3"/>
        <v>663.5625</v>
      </c>
      <c r="Q78" s="3">
        <v>10</v>
      </c>
      <c r="R78" s="1"/>
      <c r="S78" s="3"/>
      <c r="T78" s="1"/>
      <c r="U78" s="3"/>
      <c r="V78" s="1"/>
    </row>
    <row r="79" spans="1:103" x14ac:dyDescent="0.2">
      <c r="A79" s="3" t="s">
        <v>283</v>
      </c>
      <c r="N79" s="1"/>
      <c r="O79" s="2">
        <v>68</v>
      </c>
      <c r="P79" s="3"/>
      <c r="Q79" s="3"/>
      <c r="S79" s="3"/>
      <c r="T79" s="1"/>
      <c r="U79" s="3"/>
      <c r="V79" s="1"/>
    </row>
    <row r="80" spans="1:103" x14ac:dyDescent="0.2">
      <c r="A80" s="3" t="s">
        <v>282</v>
      </c>
      <c r="N80" s="1"/>
      <c r="O80" s="1">
        <v>0.6875</v>
      </c>
      <c r="P80" s="3"/>
      <c r="Q80" s="3"/>
      <c r="R80" s="1"/>
      <c r="S80" s="3"/>
      <c r="T80" s="1"/>
      <c r="U80" s="3"/>
      <c r="V80" s="1"/>
    </row>
    <row r="81" spans="1:23" x14ac:dyDescent="0.2">
      <c r="A81" s="3" t="s">
        <v>284</v>
      </c>
      <c r="N81" s="1"/>
      <c r="O81" s="1">
        <v>215.1875</v>
      </c>
      <c r="P81" s="3"/>
      <c r="Q81" s="3"/>
      <c r="R81" s="1"/>
      <c r="S81" s="3"/>
      <c r="T81" s="1"/>
      <c r="U81" s="3"/>
      <c r="V81" s="1"/>
    </row>
    <row r="82" spans="1:23" x14ac:dyDescent="0.2">
      <c r="A82" s="3" t="s">
        <v>281</v>
      </c>
      <c r="N82" s="1"/>
      <c r="O82" s="1">
        <v>2</v>
      </c>
      <c r="P82" s="3"/>
      <c r="Q82" s="3"/>
      <c r="R82" s="1"/>
      <c r="S82" s="3"/>
      <c r="T82" s="1"/>
      <c r="U82" s="3"/>
      <c r="V82" s="1"/>
    </row>
    <row r="83" spans="1:23" ht="16" x14ac:dyDescent="0.2">
      <c r="A83" s="4" t="s">
        <v>380</v>
      </c>
      <c r="B83" s="2">
        <f>SUM(B66:B78)</f>
        <v>3289.625</v>
      </c>
      <c r="C83" s="2">
        <f t="shared" ref="C83:K83" si="4">SUM(C66:C78)</f>
        <v>8180.5</v>
      </c>
      <c r="D83" s="2">
        <f t="shared" si="4"/>
        <v>7459.3125</v>
      </c>
      <c r="E83" s="2">
        <f t="shared" si="4"/>
        <v>1367.5</v>
      </c>
      <c r="F83" s="2">
        <f t="shared" si="4"/>
        <v>2770.625</v>
      </c>
      <c r="G83" s="2">
        <f t="shared" si="4"/>
        <v>2279.375</v>
      </c>
      <c r="H83" s="2">
        <f t="shared" si="4"/>
        <v>2484.875</v>
      </c>
      <c r="I83" s="2">
        <f t="shared" si="4"/>
        <v>2449.125</v>
      </c>
      <c r="J83" s="2">
        <f t="shared" si="4"/>
        <v>4588.125</v>
      </c>
      <c r="K83" s="2">
        <f t="shared" si="4"/>
        <v>824.125</v>
      </c>
      <c r="L83" s="2">
        <f>SUM(L66:L78)</f>
        <v>428.1875</v>
      </c>
      <c r="M83" s="2">
        <f>SUM(M66:M78)</f>
        <v>1565.6875</v>
      </c>
      <c r="N83" s="2">
        <f>SUM(N66:N78)</f>
        <v>3336.125</v>
      </c>
      <c r="O83" s="1">
        <f>SUM(O66:O82)</f>
        <v>14439.5625</v>
      </c>
      <c r="P83" s="1"/>
      <c r="S83" s="3"/>
      <c r="T83" s="1"/>
      <c r="U83" s="3"/>
      <c r="V83" s="1"/>
    </row>
    <row r="84" spans="1:23" x14ac:dyDescent="0.2">
      <c r="A84" s="4"/>
      <c r="N84" s="3"/>
      <c r="O84" s="1"/>
      <c r="P84" s="1"/>
      <c r="S84" s="3"/>
      <c r="T84" s="1"/>
      <c r="U84" s="3"/>
      <c r="V84" s="1"/>
    </row>
    <row r="85" spans="1:23" ht="16" x14ac:dyDescent="0.2">
      <c r="A85" s="4" t="s">
        <v>7</v>
      </c>
      <c r="B85" s="2">
        <v>23262.733333333334</v>
      </c>
      <c r="C85" s="2">
        <v>148663.66666666666</v>
      </c>
      <c r="D85" s="2">
        <v>22617.428571428572</v>
      </c>
      <c r="E85" s="2">
        <v>3000.8571428571399</v>
      </c>
      <c r="F85" s="2">
        <v>15850.714285714286</v>
      </c>
      <c r="G85" s="2">
        <v>8756.5714285714294</v>
      </c>
      <c r="H85" s="2">
        <v>7844.1428571428569</v>
      </c>
      <c r="I85" s="2">
        <v>35374.428571428572</v>
      </c>
      <c r="J85" s="2">
        <v>14101.357142857143</v>
      </c>
      <c r="K85" s="2">
        <v>1624.5</v>
      </c>
      <c r="L85" s="2">
        <v>5363.9285714285716</v>
      </c>
      <c r="M85" s="2">
        <v>9827.4666666666672</v>
      </c>
      <c r="N85" s="1">
        <v>203088.73333333334</v>
      </c>
      <c r="O85" s="1">
        <v>203088.73333333334</v>
      </c>
      <c r="P85" s="1"/>
      <c r="S85" s="3"/>
      <c r="T85" s="1"/>
      <c r="U85" s="3"/>
      <c r="V85" s="1"/>
    </row>
    <row r="86" spans="1:23" ht="16" x14ac:dyDescent="0.2">
      <c r="A86" s="4" t="s">
        <v>273</v>
      </c>
      <c r="B86" s="2">
        <v>2510.6923076923076</v>
      </c>
      <c r="C86" s="2">
        <v>6165.2142857142853</v>
      </c>
      <c r="D86" s="2">
        <v>4494.7692307692305</v>
      </c>
      <c r="E86" s="2">
        <v>418.23076923076923</v>
      </c>
      <c r="F86" s="2">
        <v>2227.4615384615386</v>
      </c>
      <c r="G86" s="2">
        <v>1051.3846153846155</v>
      </c>
      <c r="H86" s="2">
        <v>674.76923076923072</v>
      </c>
      <c r="I86" s="2">
        <v>2082.6153846153848</v>
      </c>
      <c r="J86" s="2">
        <v>1352.3076923076924</v>
      </c>
      <c r="K86" s="2">
        <v>228.76923076923077</v>
      </c>
      <c r="L86" s="2">
        <v>568.38461538461536</v>
      </c>
      <c r="M86" s="2">
        <v>1073.4285714285713</v>
      </c>
      <c r="N86" s="1">
        <v>9507.6428571428569</v>
      </c>
      <c r="O86" s="1">
        <v>15496.214285714286</v>
      </c>
      <c r="P86" s="1"/>
      <c r="S86" s="1"/>
      <c r="T86" s="1"/>
      <c r="U86" s="3"/>
      <c r="V86" s="1"/>
    </row>
    <row r="87" spans="1:23" x14ac:dyDescent="0.2">
      <c r="O87" s="1"/>
      <c r="P87"/>
      <c r="S87" s="3"/>
      <c r="T87" s="1"/>
      <c r="U87" s="1"/>
      <c r="V87" s="1"/>
    </row>
    <row r="88" spans="1:23" x14ac:dyDescent="0.2">
      <c r="S88" s="1"/>
      <c r="T88" s="1"/>
      <c r="U88"/>
      <c r="V88"/>
    </row>
    <row r="89" spans="1:23" x14ac:dyDescent="0.2">
      <c r="S89" s="3"/>
      <c r="T89" s="1"/>
      <c r="U89"/>
      <c r="V89"/>
    </row>
    <row r="90" spans="1:23" ht="16" x14ac:dyDescent="0.2">
      <c r="A90" s="4" t="s">
        <v>6</v>
      </c>
      <c r="B90" s="4" t="s">
        <v>7</v>
      </c>
      <c r="M90" s="1"/>
    </row>
    <row r="91" spans="1:23" ht="16" x14ac:dyDescent="0.2">
      <c r="A91" s="2" t="s">
        <v>198</v>
      </c>
      <c r="B91" s="2">
        <v>23262.733333333334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1"/>
      <c r="N91" s="3"/>
      <c r="O91" s="3"/>
    </row>
    <row r="92" spans="1:23" ht="16" x14ac:dyDescent="0.2">
      <c r="A92" s="2" t="s">
        <v>110</v>
      </c>
      <c r="B92" s="2">
        <v>148663.66666666666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23" ht="16" x14ac:dyDescent="0.2">
      <c r="A93" s="2" t="s">
        <v>114</v>
      </c>
      <c r="B93" s="2">
        <v>22617.428571428572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3"/>
      <c r="Q93" s="3"/>
      <c r="T93" s="3"/>
      <c r="U93" s="3"/>
      <c r="V93" s="3"/>
      <c r="W93" s="3"/>
    </row>
    <row r="94" spans="1:23" ht="16" x14ac:dyDescent="0.2">
      <c r="A94" s="2" t="s">
        <v>118</v>
      </c>
      <c r="B94" s="2">
        <v>3000.8571428571399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3"/>
      <c r="S94" s="3"/>
      <c r="T94" s="1"/>
      <c r="U94" s="1"/>
      <c r="V94" s="1"/>
      <c r="W94" s="1"/>
    </row>
    <row r="95" spans="1:23" ht="16" x14ac:dyDescent="0.2">
      <c r="A95" s="2" t="s">
        <v>123</v>
      </c>
      <c r="B95" s="2">
        <v>15850.714285714286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6" x14ac:dyDescent="0.2">
      <c r="A96" s="2" t="s">
        <v>127</v>
      </c>
      <c r="B96" s="2">
        <v>8756.5714285714294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6" ht="16" x14ac:dyDescent="0.2">
      <c r="A97" s="2" t="s">
        <v>130</v>
      </c>
      <c r="B97" s="2">
        <v>7844.1428571428569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6" ht="16" x14ac:dyDescent="0.2">
      <c r="A98" s="2" t="s">
        <v>133</v>
      </c>
      <c r="B98" s="2">
        <v>35374.428571428572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Z98" s="4"/>
    </row>
    <row r="99" spans="1:26" ht="16" x14ac:dyDescent="0.2">
      <c r="A99" s="2" t="s">
        <v>143</v>
      </c>
      <c r="B99" s="2">
        <v>14101.357142857143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6" ht="16" x14ac:dyDescent="0.2">
      <c r="A100" s="2" t="s">
        <v>377</v>
      </c>
      <c r="B100" s="2">
        <v>1624.5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3"/>
      <c r="Y100" s="3"/>
      <c r="Z100" s="4"/>
    </row>
    <row r="101" spans="1:26" ht="16" x14ac:dyDescent="0.2">
      <c r="A101" s="2" t="s">
        <v>151</v>
      </c>
      <c r="B101" s="2">
        <v>5363.9285714285716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6" ht="16" x14ac:dyDescent="0.2">
      <c r="A102" s="2" t="s">
        <v>157</v>
      </c>
      <c r="B102" s="2">
        <v>9827.4666666666672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6" x14ac:dyDescent="0.2">
      <c r="A103" s="1" t="s">
        <v>378</v>
      </c>
      <c r="B103" s="1">
        <v>203088.73333333334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6" ht="32" x14ac:dyDescent="0.2">
      <c r="A104" s="2" t="s">
        <v>381</v>
      </c>
      <c r="B104" s="1">
        <v>203088.73333333334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6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6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6" x14ac:dyDescent="0.2">
      <c r="A107" s="4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6" x14ac:dyDescent="0.2"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6" x14ac:dyDescent="0.2">
      <c r="A109" s="4"/>
      <c r="R109" s="1"/>
      <c r="S109" s="1"/>
      <c r="X109" s="1"/>
      <c r="Y109" s="1"/>
    </row>
    <row r="110" spans="1:26" x14ac:dyDescent="0.2">
      <c r="X110" s="1"/>
      <c r="Y110" s="1"/>
    </row>
    <row r="111" spans="1:26" x14ac:dyDescent="0.2">
      <c r="X111" s="1"/>
      <c r="Y111" s="1"/>
    </row>
    <row r="112" spans="1:26" x14ac:dyDescent="0.2">
      <c r="X112" s="1"/>
      <c r="Y112" s="1"/>
    </row>
    <row r="113" spans="24:45" x14ac:dyDescent="0.2">
      <c r="X113" s="1"/>
      <c r="Y113" s="1"/>
    </row>
    <row r="114" spans="24:45" x14ac:dyDescent="0.2">
      <c r="X114" s="1"/>
      <c r="Y114" s="1"/>
    </row>
    <row r="115" spans="24:45" x14ac:dyDescent="0.2">
      <c r="X115" s="1"/>
      <c r="Y115" s="1"/>
      <c r="AG115" s="1"/>
    </row>
    <row r="116" spans="24:45" x14ac:dyDescent="0.2"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24:45" x14ac:dyDescent="0.2">
      <c r="Z117" s="1"/>
      <c r="AA117" s="1"/>
      <c r="AB117" s="1"/>
      <c r="AC117" s="1"/>
      <c r="AD117" s="1"/>
      <c r="AE117" s="1"/>
      <c r="AF117" s="1"/>
      <c r="AH117" s="1"/>
      <c r="AR117" s="1"/>
      <c r="AS117" s="1"/>
    </row>
  </sheetData>
  <sortState xmlns:xlrd2="http://schemas.microsoft.com/office/spreadsheetml/2017/richdata2" ref="A67:N78">
    <sortCondition ref="A67:A78"/>
  </sortState>
  <mergeCells count="27">
    <mergeCell ref="A64:S64"/>
    <mergeCell ref="A55:B55"/>
    <mergeCell ref="A56:B56"/>
    <mergeCell ref="A61:B61"/>
    <mergeCell ref="BR3:BT3"/>
    <mergeCell ref="C60:D60"/>
    <mergeCell ref="C61:D61"/>
    <mergeCell ref="C62:D62"/>
    <mergeCell ref="C63:D63"/>
    <mergeCell ref="A54:D54"/>
    <mergeCell ref="C55:D55"/>
    <mergeCell ref="C56:D56"/>
    <mergeCell ref="C57:D57"/>
    <mergeCell ref="C58:D58"/>
    <mergeCell ref="C59:D59"/>
    <mergeCell ref="A62:B62"/>
    <mergeCell ref="BU3:BW3"/>
    <mergeCell ref="AT36:AV36"/>
    <mergeCell ref="D50:H50"/>
    <mergeCell ref="BI3:BK3"/>
    <mergeCell ref="BL3:BN3"/>
    <mergeCell ref="BO3:BQ3"/>
    <mergeCell ref="A63:B63"/>
    <mergeCell ref="A57:B57"/>
    <mergeCell ref="A58:B58"/>
    <mergeCell ref="A59:B59"/>
    <mergeCell ref="A60:B6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9B8E676AD9394D8E375BABB91AE48A" ma:contentTypeVersion="4" ma:contentTypeDescription="Create a new document." ma:contentTypeScope="" ma:versionID="46f6b90bc254c5eae5598e0fe5c5b6c2">
  <xsd:schema xmlns:xsd="http://www.w3.org/2001/XMLSchema" xmlns:xs="http://www.w3.org/2001/XMLSchema" xmlns:p="http://schemas.microsoft.com/office/2006/metadata/properties" xmlns:ns2="1e6a4a00-2ded-4471-a125-81cb51ad843e" targetNamespace="http://schemas.microsoft.com/office/2006/metadata/properties" ma:root="true" ma:fieldsID="1be48ea3fee5add4fe4961d76bc87a06" ns2:_="">
    <xsd:import namespace="1e6a4a00-2ded-4471-a125-81cb51ad84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6a4a00-2ded-4471-a125-81cb51ad8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97CF00-4D73-427F-B0F6-6DB4F6B4841F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1e6a4a00-2ded-4471-a125-81cb51ad843e"/>
    <ds:schemaRef ds:uri="http://schemas.openxmlformats.org/package/2006/metadata/core-properties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3AE4CD1-A3AE-48C8-8B42-53C671103F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6a4a00-2ded-4471-a125-81cb51ad84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EDDC58-9156-47B1-8388-35A91D4A4B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County Comparisons</vt:lpstr>
      <vt:lpstr>County Snapshots</vt:lpstr>
      <vt:lpstr>Cleaned Data</vt:lpstr>
      <vt:lpstr>Raw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O'Meara, Christine</dc:creator>
  <cp:keywords/>
  <dc:description/>
  <cp:lastModifiedBy>Josiah Barnes</cp:lastModifiedBy>
  <cp:revision/>
  <dcterms:created xsi:type="dcterms:W3CDTF">2025-01-10T16:54:18Z</dcterms:created>
  <dcterms:modified xsi:type="dcterms:W3CDTF">2026-07-09T23:37:25Z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0x010100749B8E676AD9394D8E375BABB91AE48A</vt:lpwstr>
  </property>
</Properties>
</file>